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myisepipp-my.sharepoint.com/personal/1250512_isep_ipp_pt/Documents/"/>
    </mc:Choice>
  </mc:AlternateContent>
  <xr:revisionPtr revIDLastSave="0" documentId="8_{0F64C69A-3015-46A7-A85C-7BF310063736}" xr6:coauthVersionLast="47" xr6:coauthVersionMax="47" xr10:uidLastSave="{00000000-0000-0000-0000-000000000000}"/>
  <bookViews>
    <workbookView xWindow="-108" yWindow="-108" windowWidth="23256" windowHeight="12456" tabRatio="500" firstSheet="17" xr2:uid="{00000000-000D-0000-FFFF-FFFF00000000}"/>
  </bookViews>
  <sheets>
    <sheet name="Summary" sheetId="1" r:id="rId1"/>
    <sheet name="V1 - Encoding and Sanitization" sheetId="2" r:id="rId2"/>
    <sheet name="V2 - Validation and Business Lo" sheetId="3" r:id="rId3"/>
    <sheet name="V3 - Web Frontend Security" sheetId="4" r:id="rId4"/>
    <sheet name="V4 - API and Web Service" sheetId="5" r:id="rId5"/>
    <sheet name="V5 - File Handling" sheetId="6" r:id="rId6"/>
    <sheet name="V6 - Authentication" sheetId="7" r:id="rId7"/>
    <sheet name="V7 - Session Management" sheetId="8" r:id="rId8"/>
    <sheet name="V8 - Authorization" sheetId="9" r:id="rId9"/>
    <sheet name="V9 - Self-contained Tokens" sheetId="10" r:id="rId10"/>
    <sheet name="V10 - OAuth and OIDC" sheetId="11" r:id="rId11"/>
    <sheet name="V11 - Cryptography" sheetId="12" r:id="rId12"/>
    <sheet name="V12 - Secure Communication" sheetId="13" r:id="rId13"/>
    <sheet name="V13 - Configuration" sheetId="14" r:id="rId14"/>
    <sheet name="V14 - Data Protection" sheetId="15" r:id="rId15"/>
    <sheet name="V15 - Secure Coding and Archite" sheetId="16" r:id="rId16"/>
    <sheet name="V16 - Security Logging and Erro" sheetId="17" r:id="rId17"/>
    <sheet name="V17 - WebRTC" sheetId="18" r:id="rId18"/>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23" i="1" l="1"/>
  <c r="F23" i="1"/>
  <c r="C23" i="1"/>
  <c r="B23" i="1"/>
  <c r="L22" i="1"/>
  <c r="M22" i="1" s="1"/>
  <c r="J22" i="1"/>
  <c r="K22" i="1" s="1"/>
  <c r="G22" i="1"/>
  <c r="H22" i="1" s="1"/>
  <c r="L21" i="1"/>
  <c r="M21" i="1" s="1"/>
  <c r="J21" i="1"/>
  <c r="K21" i="1" s="1"/>
  <c r="G21" i="1"/>
  <c r="H21" i="1" s="1"/>
  <c r="L20" i="1"/>
  <c r="M20" i="1" s="1"/>
  <c r="J20" i="1"/>
  <c r="K20" i="1" s="1"/>
  <c r="G20" i="1"/>
  <c r="H20" i="1" s="1"/>
  <c r="D20" i="1"/>
  <c r="E20" i="1" s="1"/>
  <c r="L19" i="1"/>
  <c r="M19" i="1" s="1"/>
  <c r="J19" i="1"/>
  <c r="K19" i="1" s="1"/>
  <c r="G19" i="1"/>
  <c r="H19" i="1" s="1"/>
  <c r="D19" i="1"/>
  <c r="E19" i="1" s="1"/>
  <c r="L18" i="1"/>
  <c r="M18" i="1" s="1"/>
  <c r="J18" i="1"/>
  <c r="K18" i="1" s="1"/>
  <c r="G18" i="1"/>
  <c r="H18" i="1" s="1"/>
  <c r="D18" i="1"/>
  <c r="E18" i="1" s="1"/>
  <c r="L17" i="1"/>
  <c r="M17" i="1" s="1"/>
  <c r="J17" i="1"/>
  <c r="K17" i="1" s="1"/>
  <c r="G17" i="1"/>
  <c r="H17" i="1" s="1"/>
  <c r="D17" i="1"/>
  <c r="E17" i="1" s="1"/>
  <c r="L16" i="1"/>
  <c r="M16" i="1" s="1"/>
  <c r="J16" i="1"/>
  <c r="K16" i="1" s="1"/>
  <c r="G16" i="1"/>
  <c r="H16" i="1" s="1"/>
  <c r="D16" i="1"/>
  <c r="E16" i="1" s="1"/>
  <c r="L15" i="1"/>
  <c r="M15" i="1" s="1"/>
  <c r="J15" i="1"/>
  <c r="K15" i="1" s="1"/>
  <c r="G15" i="1"/>
  <c r="H15" i="1" s="1"/>
  <c r="D15" i="1"/>
  <c r="E15" i="1" s="1"/>
  <c r="L14" i="1"/>
  <c r="M14" i="1" s="1"/>
  <c r="G14" i="1"/>
  <c r="H14" i="1" s="1"/>
  <c r="D14" i="1"/>
  <c r="E14" i="1" s="1"/>
  <c r="L13" i="1"/>
  <c r="M13" i="1" s="1"/>
  <c r="J13" i="1"/>
  <c r="K13" i="1" s="1"/>
  <c r="G13" i="1"/>
  <c r="H13" i="1" s="1"/>
  <c r="D13" i="1"/>
  <c r="E13" i="1" s="1"/>
  <c r="L12" i="1"/>
  <c r="M12" i="1" s="1"/>
  <c r="J12" i="1"/>
  <c r="K12" i="1" s="1"/>
  <c r="G12" i="1"/>
  <c r="H12" i="1" s="1"/>
  <c r="D12" i="1"/>
  <c r="E12" i="1" s="1"/>
  <c r="L11" i="1"/>
  <c r="M11" i="1" s="1"/>
  <c r="J11" i="1"/>
  <c r="K11" i="1" s="1"/>
  <c r="G11" i="1"/>
  <c r="H11" i="1" s="1"/>
  <c r="D11" i="1"/>
  <c r="E11" i="1" s="1"/>
  <c r="L10" i="1"/>
  <c r="M10" i="1" s="1"/>
  <c r="J10" i="1"/>
  <c r="K10" i="1" s="1"/>
  <c r="G10" i="1"/>
  <c r="H10" i="1" s="1"/>
  <c r="D10" i="1"/>
  <c r="E10" i="1" s="1"/>
  <c r="L9" i="1"/>
  <c r="M9" i="1" s="1"/>
  <c r="J9" i="1"/>
  <c r="K9" i="1" s="1"/>
  <c r="G9" i="1"/>
  <c r="H9" i="1" s="1"/>
  <c r="D9" i="1"/>
  <c r="E9" i="1" s="1"/>
  <c r="L8" i="1"/>
  <c r="M8" i="1" s="1"/>
  <c r="J8" i="1"/>
  <c r="K8" i="1" s="1"/>
  <c r="G8" i="1"/>
  <c r="H8" i="1" s="1"/>
  <c r="D8" i="1"/>
  <c r="E8" i="1" s="1"/>
  <c r="L7" i="1"/>
  <c r="M7" i="1" s="1"/>
  <c r="J7" i="1"/>
  <c r="K7" i="1" s="1"/>
  <c r="G7" i="1"/>
  <c r="H7" i="1" s="1"/>
  <c r="D7" i="1"/>
  <c r="E7" i="1" s="1"/>
  <c r="L6" i="1"/>
  <c r="J6" i="1"/>
  <c r="K6" i="1" s="1"/>
  <c r="G6" i="1"/>
  <c r="H6" i="1" s="1"/>
  <c r="D6" i="1"/>
  <c r="D23" i="1" l="1"/>
  <c r="L23" i="1"/>
  <c r="H23" i="1"/>
  <c r="K23" i="1"/>
  <c r="M6" i="1"/>
  <c r="M23" i="1" s="1"/>
  <c r="G23" i="1"/>
  <c r="E6" i="1"/>
  <c r="E23" i="1" s="1"/>
  <c r="J23" i="1"/>
</calcChain>
</file>

<file path=xl/sharedStrings.xml><?xml version="1.0" encoding="utf-8"?>
<sst xmlns="http://schemas.openxmlformats.org/spreadsheetml/2006/main" count="2441" uniqueCount="1161">
  <si>
    <t>OWASP ASVS 5.0 – Compliance Tracker</t>
  </si>
  <si>
    <t>Chapter</t>
  </si>
  <si>
    <t>Total
Reqs</t>
  </si>
  <si>
    <t>L1
Total</t>
  </si>
  <si>
    <t>L1
Compliant</t>
  </si>
  <si>
    <t>L1
%</t>
  </si>
  <si>
    <t>L2
Total</t>
  </si>
  <si>
    <t>L2
Compliant</t>
  </si>
  <si>
    <t>L2
%</t>
  </si>
  <si>
    <t>L3
Total</t>
  </si>
  <si>
    <t>L3
Compliant</t>
  </si>
  <si>
    <t>L3
%</t>
  </si>
  <si>
    <t>Overall
Compliant</t>
  </si>
  <si>
    <t>Overall
%</t>
  </si>
  <si>
    <t>V1 – Encoding and Sanitization</t>
  </si>
  <si>
    <t>V2 – Validation and Business Logic</t>
  </si>
  <si>
    <t>V3 – Web Frontend Security</t>
  </si>
  <si>
    <t>V4 – API and Web Service</t>
  </si>
  <si>
    <t>V5 – File Handling</t>
  </si>
  <si>
    <t>V6 – Authentication</t>
  </si>
  <si>
    <t>V7 – Session Management</t>
  </si>
  <si>
    <t>V8 – Authorization</t>
  </si>
  <si>
    <t>V9 – Self-contained Tokens</t>
  </si>
  <si>
    <t>N/A</t>
  </si>
  <si>
    <t>V10 – OAuth and OIDC</t>
  </si>
  <si>
    <t>V11 – Cryptography</t>
  </si>
  <si>
    <t>V12 – Secure Communication</t>
  </si>
  <si>
    <t>V13 – Configuration</t>
  </si>
  <si>
    <t>V14 – Data Protection</t>
  </si>
  <si>
    <t>V15 – Secure Coding and Architecture</t>
  </si>
  <si>
    <t>V16 – Security Logging and Error Handling</t>
  </si>
  <si>
    <t>V17 – WebRTC</t>
  </si>
  <si>
    <t>TOTAL</t>
  </si>
  <si>
    <t>Section ID</t>
  </si>
  <si>
    <t>Section Name</t>
  </si>
  <si>
    <t>Req ID</t>
  </si>
  <si>
    <t>Description</t>
  </si>
  <si>
    <t>Level</t>
  </si>
  <si>
    <t>Status</t>
  </si>
  <si>
    <t>Observations</t>
  </si>
  <si>
    <t>Reference / Link</t>
  </si>
  <si>
    <t>V1.1</t>
  </si>
  <si>
    <t>Encoding and Sanitization Architecture</t>
  </si>
  <si>
    <t>V1.1.1</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</si>
  <si>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</si>
  <si>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Not Started</t>
  </si>
  <si>
    <t>V1.1.2</t>
  </si>
  <si>
    <t>Verify that the application performs output encoding and escaping either as a final step before being used by the interpreter for which it is intended or by the interpreter itself.</t>
  </si>
  <si>
    <t>Compliant</t>
  </si>
  <si>
    <t>Output encoding and sanitization are applied to user-generated content, particularly in chat messages, to prevent XSS attacks.</t>
  </si>
  <si>
    <t>SR10, AC8</t>
  </si>
  <si>
    <t>V1.2</t>
  </si>
  <si>
    <t>Injection Prevention</t>
  </si>
  <si>
    <t>V1.2.1</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</si>
  <si>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</si>
  <si>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In Progress</t>
  </si>
  <si>
    <t>Output encoding is considered for responses to prevent injection vulnerabilities such as XSS.</t>
  </si>
  <si>
    <t>SR10</t>
  </si>
  <si>
    <t>V1.2.2</t>
  </si>
  <si>
    <t>Verify that when dynamically building URLs, untrusted data is encoded according to its context (e.g., URL encoding or base64url encoding for query or path parameters). Ensure that only safe URL protocols are permitted (e.g., disallow javascript: or data:).</t>
  </si>
  <si>
    <t>V1.2.3</t>
  </si>
  <si>
    <t>Verify that output encoding or escaping is used when dynamically building JavaScript content (including JSON), to avoid changing the message or document structure (to avoid JavaScript and JSON injection).</t>
  </si>
  <si>
    <t>JSON responses are generated through Spring/Jackson serialization, reducing manual JavaScript/JSON construction risks.</t>
  </si>
  <si>
    <t>spring-boot-starter-webmvc, Jackson</t>
  </si>
  <si>
    <t>V1.2.4</t>
  </si>
  <si>
    <t>Verify that data selection or database queries (e.g., SQL, HQL, NoSQL, Cypher) use parameterized queries, ORMs, entity frameworks, or are otherwise protected from SQL Injection and other database injection attacks. This is also relevant when writing stored procedures.</t>
  </si>
  <si>
    <t>Database access is handled through Spring Data JPA/Hibernate repositories, reducing SQL injection risk through ORM-based query handling.</t>
  </si>
  <si>
    <t>repositories/*, spring-boot-starter-data-jpa, SR10</t>
  </si>
  <si>
    <t>V1.2.5</t>
  </si>
  <si>
    <t>Verify that the application protects against OS command injection and that operating system calls use parameterized OS queries or use contextual command line output encoding.</t>
  </si>
  <si>
    <t>The application does not expose direct OS command execution flows; input validation reduces command injection risk.</t>
  </si>
  <si>
    <t>V1.2.6</t>
  </si>
  <si>
    <t>Verify that the application protects against LDAP injection vulnerabilities, or that specific security controls to prevent LDAP injection have been implemented.</t>
  </si>
  <si>
    <t>Not Applicable</t>
  </si>
  <si>
    <t>LDAP services are not used by the application.</t>
  </si>
  <si>
    <t>V1.2.7</t>
  </si>
  <si>
    <t>Verify that the application is protected against XPath injection attacks by using query parameterization or precompiled queries.</t>
  </si>
  <si>
    <t>XPath queries are not used by the application.</t>
  </si>
  <si>
    <t>V1.2.8</t>
  </si>
  <si>
    <t>Verify that LaTeX processors are configured securely (such as not using the "--shell-escape" flag) and an allowlist of commands is used to prevent LaTeX injection attacks.</t>
  </si>
  <si>
    <t>LaTeX processing is not used by the application.</t>
  </si>
  <si>
    <t>V1.2.9</t>
  </si>
  <si>
    <t>Verify that the application escapes special characters in regular expressions (typically using a backslash) to prevent them from being misinterpreted as metacharacters.</t>
  </si>
  <si>
    <t>Input validation and sanitization mechanisms are applied to reduce risks from special characters.</t>
  </si>
  <si>
    <t>V1.2.10</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</si>
  <si>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</si>
  <si>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CSV or spreadsheet export protection is not implemented in the current sprint scope.</t>
  </si>
  <si>
    <t>V1.3</t>
  </si>
  <si>
    <t>Sanitization</t>
  </si>
  <si>
    <t>V1.3.1</t>
  </si>
  <si>
    <t>Verify that all untrusted HTML input from WYSIWYG editors or similar is sanitized using a well-known and secure HTML sanitization library or framework feature.</t>
  </si>
  <si>
    <t>User-generated content, including chat messages, is sanitized to reduce XSS risk.</t>
  </si>
  <si>
    <t>V1.3.2</t>
  </si>
  <si>
    <t>Verify that the application avoids the use of eval() or other dynamic code execution features such as Spring Expression Language (SpEL). Where there is no alternative, any user input being included must be sanitized before being executed.</t>
  </si>
  <si>
    <t>The application does not use eval, unsafe runtime code execution, or unrestricted SpEL evaluation with user input.</t>
  </si>
  <si>
    <t>Codebase review</t>
  </si>
  <si>
    <t>V1.3.3</t>
  </si>
  <si>
    <t>Verify that data being passed to a potentially dangerous context is sanitized beforehand to enforce safety measures, such as only allowing characters which are safe for this context and trimming input which is too long.</t>
  </si>
  <si>
    <t>Backend validation is applied through DTO validation and service-layer checks before data is processed in sensitive contexts.</t>
  </si>
  <si>
    <t>"@Valid", DTOs, SR10</t>
  </si>
  <si>
    <t>V1.3.4</t>
  </si>
  <si>
    <t>Verify that user-supplied Scalable Vector Graphics (SVG) scriptable content is validated or sanitized to contain only tags and attributes (such as draw graphics) that are safe for the application, e.g., do not contain scripts and foreignObject.</t>
  </si>
  <si>
    <t>SVG uploads are not supported in the current application scope.</t>
  </si>
  <si>
    <t>V1.3.5</t>
  </si>
  <si>
    <t>Verify that the application sanitizes or disables user-supplied scriptable or expression template language content, such as Markdown, CSS or XSL stylesheets, BBCode, or similar.</t>
  </si>
  <si>
    <t>V1.3.6</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</si>
  <si>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</si>
  <si>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V1.3.7</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</si>
  <si>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</si>
  <si>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V1.3.8</t>
  </si>
  <si>
    <t>Verify that the application appropriately sanitizes untrusted input before use in Java Naming and Directory Interface (JNDI) queries and that JNDI is configured securely to prevent JNDI injection attacks.</t>
  </si>
  <si>
    <t>JNDI queries are not exposed to user-controlled input.</t>
  </si>
  <si>
    <t>V1.3.9</t>
  </si>
  <si>
    <t>Verify that the application sanitizes content before it is sent to memcache to prevent injection attacks.</t>
  </si>
  <si>
    <t>Memcache is not used by the application.</t>
  </si>
  <si>
    <t>V1.3.10</t>
  </si>
  <si>
    <t>Verify that format strings which might resolve in an unexpected or malicious way when used are sanitized before being processed.</t>
  </si>
  <si>
    <t>V1.3.11</t>
  </si>
  <si>
    <t>Verify that the application sanitizes user input before passing to mail systems to protect against SMTP or IMAP injection.</t>
  </si>
  <si>
    <t>Mail system input sanitization is not implemented in the current sprint scope.</t>
  </si>
  <si>
    <t>V1.3.12</t>
  </si>
  <si>
    <t>Verify that regular expressions are free from elements causing exponential backtracking, and ensure untrusted input is sanitized to mitigate ReDoS or Runaway Regex attacks.</t>
  </si>
  <si>
    <t>ReDoS-specific regex review is not implemented in the current sprint scope.</t>
  </si>
  <si>
    <t>V1.4</t>
  </si>
  <si>
    <t>Memory, String, and Unmanaged Code</t>
  </si>
  <si>
    <t>V1.4.1</t>
  </si>
  <si>
    <t>Verify that the application uses memory-safe string, safer memory copy and pointer arithmetic to detect or prevent stack, buffer, or heap overflows.</t>
  </si>
  <si>
    <t>The application is implemented in Java, a managed memory-safe language, reducing risks of buffer and pointer memory vulnerabilities.</t>
  </si>
  <si>
    <t>Java 17</t>
  </si>
  <si>
    <t>V1.4.2</t>
  </si>
  <si>
    <t>Verify that sign, range, and input validation techniques are used to prevent integer overflows.</t>
  </si>
  <si>
    <t>Backend validation helps reduce unsafe numeric input handling, although integer overflow-specific controls are not fully documented.</t>
  </si>
  <si>
    <t>V1.4.3</t>
  </si>
  <si>
    <t>Verify that dynamically allocated memory and resources are released, and that references or pointers to freed memory are removed or set to null to prevent dangling pointers and use-after-free vulnerabilities.</t>
  </si>
  <si>
    <t>Memory management and resource cleanup are handled by the JVM garbage collector.</t>
  </si>
  <si>
    <t>Java 17 / JVM</t>
  </si>
  <si>
    <t>V1.5</t>
  </si>
  <si>
    <t>Safe Deserialization</t>
  </si>
  <si>
    <t>V1.5.1</t>
  </si>
  <si>
    <t>Verify that the application configures XML parsers to use a restrictive configuration and that unsafe features such as resolving external entities are disabled to prevent XML eXternal Entity (XXE) attacks.</t>
  </si>
  <si>
    <t>XML parsing is not used in the current application scope.</t>
  </si>
  <si>
    <t>Spring MVC / Jackson</t>
  </si>
  <si>
    <t>V1.5.2</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</si>
  <si>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</si>
  <si>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JSON deserialization is handled through standard Spring/Jackson mechanisms without unsafe polymorphic deserialization being exposed.</t>
  </si>
  <si>
    <t>V1.5.3</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</si>
  <si>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</si>
  <si>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Parser consistency hardening is not explicitly documented or tested in the current sprint.</t>
  </si>
  <si>
    <t>V2.1</t>
  </si>
  <si>
    <t>Validation and Business Logic Documentation</t>
  </si>
  <si>
    <t>V2.1.1</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</si>
  <si>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</si>
  <si>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Input validation rules and schema validation tests are documented, including boundary values and invalid payload handling.</t>
  </si>
  <si>
    <t>Deliverables\Phase1\Phase1-Deliverable.md ----- Input validation tests (schema violations, injection payloads, boundary values)</t>
  </si>
  <si>
    <t>V2.1.2</t>
  </si>
  <si>
    <t>Verify that the application's documentation defines how to validate the logical and contextual consistency of combined data items, such as checking that suburb and ZIP code match.</t>
  </si>
  <si>
    <t>Business rules and contextual validations are documented for authentication, enrollment, file access, and chat authorization flows.</t>
  </si>
  <si>
    <t>SR4, SR5, SR6</t>
  </si>
  <si>
    <t>V2.1.3</t>
  </si>
  <si>
    <t>Verify that expectations for business logic limits and validations are documented, including both per-user and globally across the application.</t>
  </si>
  <si>
    <t>Business logic limits and validation rules are defined for uploads, authentication attempts, and course access operations.</t>
  </si>
  <si>
    <t>NFR5, SR3, SR11</t>
  </si>
  <si>
    <t>V2.2</t>
  </si>
  <si>
    <t>Input Validation</t>
  </si>
  <si>
    <t> </t>
  </si>
  <si>
    <t>V2.2.1</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</si>
  <si>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</si>
  <si>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User input is validated using predefined rules, expected formats, and server-side validation mechanisms.</t>
  </si>
  <si>
    <t>V2.2.2</t>
  </si>
  <si>
    <t>Verify that the application is designed to enforce input validation at a trusted service layer. While client-side validation improves usability and should be encouraged, it must not be relied upon as a security control.</t>
  </si>
  <si>
    <t>Input validation is enforced at the backend service layer and is not dependent on client-side validation.</t>
  </si>
  <si>
    <t xml:space="preserve">SR10 </t>
  </si>
  <si>
    <t>V2.2.3</t>
  </si>
  <si>
    <t>Verify that the application ensures that combinations of related data items are reasonable according to the pre-defined rules.</t>
  </si>
  <si>
    <t>Related data validation rules are applied to ensure logical consistency between users, enrollments, and course resources.</t>
  </si>
  <si>
    <t>SR5, SR6</t>
  </si>
  <si>
    <t>V2.3</t>
  </si>
  <si>
    <t>Business Logic Security</t>
  </si>
  <si>
    <t>V2.3.1</t>
  </si>
  <si>
    <t>Verify that the application will only process business logic flows for the same user in the expected sequential step order and without skipping steps.</t>
  </si>
  <si>
    <t>Business workflows enforce sequential processing and authorization checks before sensitive operations are executed.</t>
  </si>
  <si>
    <t>SR4, SR5</t>
  </si>
  <si>
    <t>V2.3.2</t>
  </si>
  <si>
    <t>Verify that business logic limits are implemented per the application's documentation to avoid business logic flaws being exploited.</t>
  </si>
  <si>
    <t>Business logic restrictions are applied to uploads, enrollments, and access-control operations to reduce abuse scenarios.</t>
  </si>
  <si>
    <t>SR5, SR11</t>
  </si>
  <si>
    <t>V2.3.3</t>
  </si>
  <si>
    <t>Verify that transactions are being used at the business logic level such that either a business logic operation succeeds in its entirety or it is rolled back to the previous correct state.</t>
  </si>
  <si>
    <t>Transactional operations are planned to preserve application state integrity during critical operations.</t>
  </si>
  <si>
    <t>NFR4</t>
  </si>
  <si>
    <t>V2.3.4</t>
  </si>
  <si>
    <t>Verify that business logic level locking mechanisms are used to ensure that limited quantity resources (such as theater seats or delivery slots) cannot be double-booked by manipulating the application's logic.</t>
  </si>
  <si>
    <t> Business-level locking mechanisms for concurrent resource access are not implemented in the current project scope.</t>
  </si>
  <si>
    <t>V2.3.5</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</si>
  <si>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</si>
  <si>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Multi-user approval workflows for high-value business operations are not implemented in the current application scope.</t>
  </si>
  <si>
    <t>NFR9</t>
  </si>
  <si>
    <t>V2.4</t>
  </si>
  <si>
    <t>Anti-automation</t>
  </si>
  <si>
    <t>V2.4.1</t>
  </si>
  <si>
    <t>Verify that anti-automation controls are in place to protect against excessive calls to application functions that could lead to data exfiltration, garbage-data creation, quota exhaustion, rate-limit breaches, denial-of-service, or overuse of costly resources.</t>
  </si>
  <si>
    <t>Rate limiting and anti-automation protections are planned but not yet implemented in the current backend.</t>
  </si>
  <si>
    <t>SR3</t>
  </si>
  <si>
    <t>V2.4.2</t>
  </si>
  <si>
    <t>Verify that business logic flows require realistic human timing, preventing excessively rapid transaction submissions.</t>
  </si>
  <si>
    <t> Human interaction timing controls for sensitive business operations are not implemented in the current project stage.</t>
  </si>
  <si>
    <t>V3.1</t>
  </si>
  <si>
    <t>Web Frontend Security Documentation</t>
  </si>
  <si>
    <t>V3.1.1</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</si>
  <si>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</si>
  <si>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Backend-only REST API at current project stage.</t>
  </si>
  <si>
    <t>V3.2</t>
  </si>
  <si>
    <t>Unintended Content Interpretation</t>
  </si>
  <si>
    <t>V3.2.1</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</si>
  <si>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</si>
  <si>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V3.2.2</t>
  </si>
  <si>
    <t>Verify that content intended to be displayed as text, rather than rendered as HTML, is handled using safe rendering functions (such as createTextNode or textContent) to prevent unintended execution of content such as HTML or JavaScript.</t>
  </si>
  <si>
    <t>The current project scope does not include browser-side rendering logic.</t>
  </si>
  <si>
    <t>V3.2.3</t>
  </si>
  <si>
    <t>Verify that the application avoids DOM clobbering when using client-side JavaScript by employing explicit variable declarations, performing strict type checking, avoiding storing global variables on the document object, and implementing namespace isolation.</t>
  </si>
  <si>
    <t>No client-side JavaScript frontend is implemented in the current scope.</t>
  </si>
  <si>
    <t>V3.3</t>
  </si>
  <si>
    <t>Cookie Setup</t>
  </si>
  <si>
    <t>V3.3.1</t>
  </si>
  <si>
    <t>Verify that cookies have the 'Secure' attribute set, and if the '\__Host-' prefix is not used for the cookie name, the '__Secure-' prefix must be used for the cookie name.</t>
  </si>
  <si>
    <t>The application uses stateless JWT authentication through the Authorization header and does not rely on session cookies.</t>
  </si>
  <si>
    <t>SR2</t>
  </si>
  <si>
    <t>V3.3.2</t>
  </si>
  <si>
    <t>Verify that each cookie's 'SameSite' attribute value is set according to the purpose of the cookie, to limit exposure to user interface redress attacks and browser-based request forgery attacks, commonly known as cross-site request forgery (CSRF).</t>
  </si>
  <si>
    <t>The application uses stateless JWT authentication through the Authorization header, so SameSite cookie controls are not used.</t>
  </si>
  <si>
    <t>V3.3.3</t>
  </si>
  <si>
    <t>Verify that cookies have the '__Host-' prefix for the cookie name unless they are explicitly designed to be shared with other hosts.</t>
  </si>
  <si>
    <t>Session cookies are not used in the current authentication design.</t>
  </si>
  <si>
    <t>V3.3.4</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</si>
  <si>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</si>
  <si>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Session tokens are not transferred through cookies; JWT tokens are returned by the login endpoint and used as Bearer tokens.</t>
  </si>
  <si>
    <t>V3.3.5</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</si>
  <si>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</si>
  <si>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The application does not write authentication cookies in the current backend implementation.</t>
  </si>
  <si>
    <t>V3.4</t>
  </si>
  <si>
    <t>Browser Security Mechanism Headers</t>
  </si>
  <si>
    <t>V3.4.1</t>
  </si>
  <si>
    <t>Verify that a Strict-Transport-Security header field is included on all responses to enforce an HTTP Strict Transport Security (HSTS) policy. A maximum age of at least 1 year must be defined, and for L2 and up, the policy must apply to all subdomains as well.</t>
  </si>
  <si>
    <t>HSTS headers are not explicitly configured in the current Sprint 1 backend.</t>
  </si>
  <si>
    <t>SR13, SR14</t>
  </si>
  <si>
    <t>V3.4.2</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</si>
  <si>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</si>
  <si>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CORS allowlist configuration is not explicitly defined in the current backend security configuration.</t>
  </si>
  <si>
    <t>SR14</t>
  </si>
  <si>
    <t>V3.4.3</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</si>
  <si>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</si>
  <si>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Content-Security-Policy headers are not explicitly configured in the current backend.</t>
  </si>
  <si>
    <t>V3.4.4</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</si>
  <si>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</si>
  <si>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HTTP responses include X-Content-Type-Options: nosniff, as verified with curl against protected API endpoints.</t>
  </si>
  <si>
    <t xml:space="preserve">curl.exe -i http://localhost:9393/api/users
</t>
  </si>
  <si>
    <t>V3.4.5</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</si>
  <si>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</si>
  <si>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Referrer-Policy headers are not explicitly configured in the current backend.</t>
  </si>
  <si>
    <t>V3.4.6</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</si>
  <si>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</si>
  <si>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frame-ancestors / CSP anti-framing policy is not explicitly configured in the current backend.</t>
  </si>
  <si>
    <t>X-Frame-Options: DENY</t>
  </si>
  <si>
    <t>V3.4.7</t>
  </si>
  <si>
    <t>Verify that the Content-Security-Policy header field specifies a location to report violations.</t>
  </si>
  <si>
    <t>CSP violation reporting is not configured in the current backend.</t>
  </si>
  <si>
    <t>V3.4.8</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</si>
  <si>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</si>
  <si>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Cross-Origin-Opener-Policy headers are not explicitly configured in the current backend.</t>
  </si>
  <si>
    <t>V3.5</t>
  </si>
  <si>
    <t>Browser Origin Separation</t>
  </si>
  <si>
    <t>V3.5.1</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</si>
  <si>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</si>
  <si>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 xml:space="preserve">The application uses stateless JWT authentication instead of cookie-based sessions, reducing CSRF exposure in the current API design. </t>
  </si>
  <si>
    <t>V3.5.2</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</si>
  <si>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</si>
  <si>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CORS preflight-based protection is not explicitly configured in the current backend.</t>
  </si>
  <si>
    <t>V3.5.3</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</si>
  <si>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</si>
  <si>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Sensitive operations are exposed through appropriate REST methods such as POST, PUT, PATCH and DELETE instead of relying on safe methods for state changes.</t>
  </si>
  <si>
    <t>NFR12</t>
  </si>
  <si>
    <t>V3.5.4</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</si>
  <si>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</si>
  <si>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The current project scope is a single backend REST API and does not define separate browser applications or hostnames.</t>
  </si>
  <si>
    <t>V3.5.5</t>
  </si>
  <si>
    <t>Verify that messages received by the postMessage interface are discarded if the origin of the message is not trusted, or if the syntax of the message is invalid.</t>
  </si>
  <si>
    <t>The application does not implement browser postMessage communication.</t>
  </si>
  <si>
    <t>V3.5.6</t>
  </si>
  <si>
    <t>Verify that JSONP functionality is not enabled anywhere across the application to avoid Cross-Site Script Inclusion (XSSI) attacks.</t>
  </si>
  <si>
    <t>JSONP functionality is not used in the backend REST API.</t>
  </si>
  <si>
    <t>V3.5.7</t>
  </si>
  <si>
    <t>Verify that data requiring authorization is not included in script resource responses, like JavaScript files, to prevent Cross-Site Script Inclusion (XSSI) attacks.</t>
  </si>
  <si>
    <t>The backend does not expose authorised data through JavaScript resource responses.</t>
  </si>
  <si>
    <t>V3.5.8</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</si>
  <si>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</si>
  <si>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Cross-Origin-Resource-Policy or Sec-Fetch based validation is not explicitly configured in the current backend.</t>
  </si>
  <si>
    <t>V3.6</t>
  </si>
  <si>
    <t>External Resource Integrity</t>
  </si>
  <si>
    <t>V3.6.1</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</si>
  <si>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</si>
  <si>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The current project scope does not include externally hosted client-side assets.</t>
  </si>
  <si>
    <t>V3.7</t>
  </si>
  <si>
    <t>Other Browser Security Considerations</t>
  </si>
  <si>
    <t>V3.7.1</t>
  </si>
  <si>
    <t>Verify that the application only uses client-side technologies which are still supported and considered secure. Examples of technologies which do not meet this requirement include NSAPI plugins, Flash, Shockwave, ActiveX, Silverlight, NACL, or client-side Java applets.</t>
  </si>
  <si>
    <t>No client-side browser technologies are implemented in the current backend-only scope.</t>
  </si>
  <si>
    <t>V3.7.2</t>
  </si>
  <si>
    <t>Verify that the application will only automatically redirect the user to a different hostname or domain (which is not controlled by the application) where the destination appears on an allowlist.</t>
  </si>
  <si>
    <t>External redirect allowlist controls are not explicitly documented or configured.</t>
  </si>
  <si>
    <t>V3.7.3</t>
  </si>
  <si>
    <t>Verify that the application shows a notification when the user is being redirected to a URL outside of the application's control, with an option to cancel the navigation.</t>
  </si>
  <si>
    <t>Browser-side redirect warning behaviour is outside the current backend-only scope.</t>
  </si>
  <si>
    <t>V3.7.4</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</si>
  <si>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</si>
  <si>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HSTS preload configuration is not defined for the current project stage.</t>
  </si>
  <si>
    <t>V3.7.5</t>
  </si>
  <si>
    <t>Verify that the application behaves as documented (such as warning the user or blocking access) if the browser used to access the application does not support the expected security features.</t>
  </si>
  <si>
    <t>Browser capability handling is outside the current backend-only scope.</t>
  </si>
  <si>
    <t>V4.1</t>
  </si>
  <si>
    <t>Generic Web Service Security</t>
  </si>
  <si>
    <t>V4.1.1</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</si>
  <si>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</si>
  <si>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REST API responses use Spring Boot HTTP response handling with standard content types and UTF-8 encoding support.</t>
  </si>
  <si>
    <t>V4.1.2</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</si>
  <si>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</si>
  <si>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HTTPS enforcement and redirect policies are not explicitly configured in the current backend deployment.</t>
  </si>
  <si>
    <t>SR13</t>
  </si>
  <si>
    <t>V4.1.3</t>
  </si>
  <si>
    <t>Verify that any HTTP header field used by the application and set by an intermediary layer, such as a load balancer, a web proxy, or a backend-for-frontend service, cannot be overridden by the end-user. Example headers might include X-Real-IP, X-Forwarded-*, or X-User-ID.</t>
  </si>
  <si>
    <t>Proxy/intermediary security headers such as X-Forwarded-* are not explicitly validated or protected from override.</t>
  </si>
  <si>
    <t>V4.1.4</t>
  </si>
  <si>
    <t>Verify that only HTTP methods that are explicitly supported by the application or its API (including OPTIONS during preflight requests) can be used and that unused methods are blocked.</t>
  </si>
  <si>
    <t>REST endpoints are exposed using explicitly defined HTTP methods through Spring controller mappings.</t>
  </si>
  <si>
    <t>V4.1.5</t>
  </si>
  <si>
    <t>Verify that per-message digital signatures are used to provide additional assurance on top of transport protections for requests or transactions which are highly sensitive or which traverse a number of systems.</t>
  </si>
  <si>
    <t>Per-message digital signatures are not required for the current project scope and architecture.</t>
  </si>
  <si>
    <t>V4.2</t>
  </si>
  <si>
    <t>HTTP Message Structure Validation</t>
  </si>
  <si>
    <t>V4.2.1</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</si>
  <si>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</si>
  <si>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Advanced HTTP request smuggling protections are not explicitly configured in the current deployment.</t>
  </si>
  <si>
    <t>V4.2.2</t>
  </si>
  <si>
    <t>Verify that when generating HTTP messages, the Content-Length header field does not conflict with the length of the content as determined by the framing of the HTTP protocol, in order to prevent request smuggling attacks.</t>
  </si>
  <si>
    <t>Explicit HTTP framing validation mechanisms are not configured.</t>
  </si>
  <si>
    <t>V4.2.3</t>
  </si>
  <si>
    <t>Verify that the application does not send nor accept HTTP/2 or HTTP/3 messages with connection-specific header fields such as Transfer-Encoding to prevent response splitting and header injection attacks.</t>
  </si>
  <si>
    <t>HTTP/2 and HTTP/3 specific header validation is not explicitly configured.</t>
  </si>
  <si>
    <t>V4.2.4</t>
  </si>
  <si>
    <t>Verify that the application only accepts HTTP/2 and HTTP/3 requests where the header fields and values do not contain any CR (\r), LF (\n), or CRLF (\r\n) sequences, to prevent header injection attacks.</t>
  </si>
  <si>
    <t>CRLF/header injection protections are not explicitly validated at protocol level.</t>
  </si>
  <si>
    <t>V4.2.5</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</si>
  <si>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</si>
  <si>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Input validation and request handling mechanisms reduce risks related to malformed or oversized request data.</t>
  </si>
  <si>
    <t>V4.3</t>
  </si>
  <si>
    <t>GraphQL</t>
  </si>
  <si>
    <t>V4.3.1</t>
  </si>
  <si>
    <t>Verify that a query allowlist, depth limiting, amount limiting, or query cost analysis is used to prevent GraphQL or data layer expression Denial of Service (DoS) as a result of expensive, nested queries.</t>
  </si>
  <si>
    <t>The application does not implement GraphQL APIs.</t>
  </si>
  <si>
    <t>V4.3.2</t>
  </si>
  <si>
    <t>Verify that GraphQL introspection queries are disabled in the production environment unless the GraphQL API is meant to be used by other parties.</t>
  </si>
  <si>
    <t>GraphQL introspection is not applicable because GraphQL is not used.</t>
  </si>
  <si>
    <t>V4.4</t>
  </si>
  <si>
    <t>WebSocket</t>
  </si>
  <si>
    <t>V4.4.1</t>
  </si>
  <si>
    <t>Verify that WebSocket over TLS (WSS) is used for all WebSocket connections.</t>
  </si>
  <si>
    <t>The application does not implement WebSocket communication in the current backend scope.</t>
  </si>
  <si>
    <t>V4.4.2</t>
  </si>
  <si>
    <t>Verify that, during the initial HTTP WebSocket handshake, the Origin header field is checked against a list of origins allowed for the application.</t>
  </si>
  <si>
    <t>WebSocket handshake origin validation is not applicable because WebSockets are not used.</t>
  </si>
  <si>
    <t>V4.4.3</t>
  </si>
  <si>
    <t>Verify that, if the application's standard session management cannot be used, dedicated tokens are being used for this, which comply with the relevant Session Management security requirements.</t>
  </si>
  <si>
    <t>Dedicated WebSocket session tokens are not required because WebSocket communication is not implemented.</t>
  </si>
  <si>
    <t>V4.4.4</t>
  </si>
  <si>
    <t>Verify that dedicated WebSocket session management tokens are initially obtained or validated through the previously authenticated HTTPS session when transitioning an existing HTTPS session to a WebSocket channel.</t>
  </si>
  <si>
    <t>Transition from HTTPS session to WebSocket channel is not applicable in the current REST API architecture.</t>
  </si>
  <si>
    <t>V5.1</t>
  </si>
  <si>
    <t>File Handling Documentation</t>
  </si>
  <si>
    <t>V5.1.1</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</si>
  <si>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</si>
  <si>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File validation requirements are defined, including allowed types, extensions, and size limits (SR11).</t>
  </si>
  <si>
    <t xml:space="preserve">SR11 </t>
  </si>
  <si>
    <t>V5.2</t>
  </si>
  <si>
    <t>File Upload and Content</t>
  </si>
  <si>
    <t>V5.2.1</t>
  </si>
  <si>
    <t>Verify that the application will only accept files of a size which it can process without causing a loss of performance or a denial of service attack.</t>
  </si>
  <si>
    <t>Maximum file size limits are enforced to prevent performance degradation and denial of service (SR11).</t>
  </si>
  <si>
    <t>V5.2.2</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</si>
  <si>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</si>
  <si>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File extensions and upload validation rules are enforced; deeper file content validation mechanisms are planned for future hardening.</t>
  </si>
  <si>
    <t>SR11</t>
  </si>
  <si>
    <t>V5.2.3</t>
  </si>
  <si>
    <t>Verify that the application checks compressed files (e.g., zip, gz, docx, odt) against maximum allowed uncompressed size and against maximum number of files before uncompressing the file.</t>
  </si>
  <si>
    <t>Compressed files are validated against maximum allowed uncompressed size to prevent resource exhaustion.</t>
  </si>
  <si>
    <t>V5.2.4</t>
  </si>
  <si>
    <t>Verify that a file size quota and maximum number of files per user are enforced to ensure that a single user cannot fill up the storage with too many files, or excessively large files.</t>
  </si>
  <si>
    <t>File size limits are enforced; upload quotas are considered as mitigation for storage abuse.</t>
  </si>
  <si>
    <t>V5.2.5</t>
  </si>
  <si>
    <t>Verify that the application does not allow uploading compressed files containing symlinks unless this is specifically required (in which case it will be necessary to enforce an allowlist of the files that can be symlinked to).</t>
  </si>
  <si>
    <t>Protection against unsafe archive content such as symlinks is considered during secure file extraction design.</t>
  </si>
  <si>
    <t>SR10, SR12</t>
  </si>
  <si>
    <t>V5.2.6</t>
  </si>
  <si>
    <t>Verify that the application rejects uploaded images with a pixel size larger than the maximum allowed, to prevent pixel flood attacks.</t>
  </si>
  <si>
    <t>Uploaded files are validated to prevent oversized or malicious content causing resource exhaustion.</t>
  </si>
  <si>
    <t>SR11, NFR13</t>
  </si>
  <si>
    <t>V5.3</t>
  </si>
  <si>
    <t>File Storage</t>
  </si>
  <si>
    <t>V5.3.1</t>
  </si>
  <si>
    <t>Verify that files uploaded or generated by untrusted input and stored in a public folder, are not executed as server-side program code when accessed directly with an HTTP request.</t>
  </si>
  <si>
    <t>Files are stored outside public directories and are not executed as server-side code (SR8).</t>
  </si>
  <si>
    <t>V5.3.2</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</si>
  <si>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</si>
  <si>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File paths are generated server-side, preventing usage of user-controlled filenames (SR12).</t>
  </si>
  <si>
    <t>V5.3.3</t>
  </si>
  <si>
    <t>Verify that server-side file processing, such as file decompression, ignores user-provided path information to prevent vulnerabilities such as zip slip.</t>
  </si>
  <si>
    <t>Server-side file processing ignores user-provided paths to prevent path traversal vulnerabilities (SR12).</t>
  </si>
  <si>
    <t>SR12</t>
  </si>
  <si>
    <t>V5.4</t>
  </si>
  <si>
    <t>File Download</t>
  </si>
  <si>
    <t>V5.4.1</t>
  </si>
  <si>
    <t>Verify that the application validates or ignores user-submitted filenames, including in a JSON, JSONP, or URL parameter and specifies a filename in the Content-Disposition header field in the response.</t>
  </si>
  <si>
    <t>User-submitted filenames are validated or ignored to prevent path traversal and injection attacks (SR12).</t>
  </si>
  <si>
    <t>V5.4.2</t>
  </si>
  <si>
    <t>Verify that file names served (e.g., in HTTP response header fields or email attachments) are encoded or sanitized (e.g., following RFC 6266) to preserve document structure and prevent injection attacks.</t>
  </si>
  <si>
    <t>File names returned in responses are intended to be sanitized and encoded to reduce injection risks.</t>
  </si>
  <si>
    <t>V5.4.3</t>
  </si>
  <si>
    <t>Verify that files obtained from untrusted sources are scanned by antivirus scanners to prevent serving of known malicious content.</t>
  </si>
  <si>
    <t>Antivirus-based scanning for untrusted uploaded files is planned as a future security enhancement.</t>
  </si>
  <si>
    <t>NFR6</t>
  </si>
  <si>
    <t>V6.1</t>
  </si>
  <si>
    <t>Authentication Documentation</t>
  </si>
  <si>
    <t>V6.1.1</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</si>
  <si>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</si>
  <si>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Authentication security controls are documented, including JWT authentication flow, authorization rules, and planned rate limiting protections.</t>
  </si>
  <si>
    <t>SR2, SR3</t>
  </si>
  <si>
    <t>V6.1.2</t>
  </si>
  <si>
    <t>Verify that a list of context-specific words is documented in order to prevent their use in passwords. The list could include permutations of organization names, product names, system identifiers, project codenames, department or role names, and similar.</t>
  </si>
  <si>
    <t>Context-specific password blacklists are not currently implemented in the authentication design.</t>
  </si>
  <si>
    <t>V6.1.3</t>
  </si>
  <si>
    <t>Verify that, if the application includes multiple authentication pathways, these are all documented together with the security controls and authentication strength which must be consistently enforced across them.</t>
  </si>
  <si>
    <t>The current application implements a single JWT-based authentication pathway.</t>
  </si>
  <si>
    <t>V6.2</t>
  </si>
  <si>
    <t>Password Security</t>
  </si>
  <si>
    <t>V6.2.1</t>
  </si>
  <si>
    <t>Verify that user set passwords are at least 8 characters in length although a minimum of 15 characters is strongly recommended.</t>
  </si>
  <si>
    <t>Minimum password length enforcement beyond basic validation is not fully implemented.</t>
  </si>
  <si>
    <t>V6.2.2</t>
  </si>
  <si>
    <t>Verify that users can change their password.</t>
  </si>
  <si>
    <t>Password change functionality is not implemented in the current sprint scope.</t>
  </si>
  <si>
    <t>V6.2.3</t>
  </si>
  <si>
    <t>Verify that password change functionality requires the user's current and new password.</t>
  </si>
  <si>
    <t>Secure password change workflows requiring current password verification are not implemented.</t>
  </si>
  <si>
    <t>V6.2.4</t>
  </si>
  <si>
    <t>Verify that passwords submitted during account registration or password change are checked against an available set of, at least, the top 3000 passwords which match the application's password policy, e.g. minimum length.</t>
  </si>
  <si>
    <t>Password blacklist validation against common passwords is not implemented.</t>
  </si>
  <si>
    <t>V6.2.5</t>
  </si>
  <si>
    <t>Verify that passwords of any composition can be used, without rules limiting the type of characters permitted. There must be no requirement for a minimum number of upper or lower case characters, numbers, or special characters.</t>
  </si>
  <si>
    <t>Password validation does not enforce overly restrictive composition rules beyond baseline security validation.</t>
  </si>
  <si>
    <t>V6.2.6</t>
  </si>
  <si>
    <t>Verify that password input fields use type=password to mask the entry. Applications may allow the user to temporarily view the entire masked password, or the last typed character of the password.</t>
  </si>
  <si>
    <t>Browser-side password masking behaviour is outside the current backend-only project scope.</t>
  </si>
  <si>
    <t>V6.2.7</t>
  </si>
  <si>
    <t>Verify that "paste" functionality, browser password helpers, and external password managers are permitted.</t>
  </si>
  <si>
    <t>Browser password manager and paste behaviour are outside the backend-only scope.</t>
  </si>
  <si>
    <t>V6.2.8</t>
  </si>
  <si>
    <t>Verify that the application verifies the user's password exactly as received from the user, without any modifications such as truncation or case transformation.</t>
  </si>
  <si>
    <t>Passwords are processed without intentional truncation or transformation before verification.</t>
  </si>
  <si>
    <t>V6.2.9</t>
  </si>
  <si>
    <t>Verify that passwords of at least 64 characters are permitted.</t>
  </si>
  <si>
    <t>Extended password length validation requirements are not explicitly configured.</t>
  </si>
  <si>
    <t>V6.2.10</t>
  </si>
  <si>
    <t>Verify that a user's password stays valid until it is discovered to be compromised or the user rotates it. The application must not require periodic credential rotation.</t>
  </si>
  <si>
    <t>Periodic password rotation is not enforced in the current authentication design.</t>
  </si>
  <si>
    <t>V6.2.11</t>
  </si>
  <si>
    <t>Verify that the documented list of context specific words is used to prevent easy to guess passwords being created.</t>
  </si>
  <si>
    <t>Context-specific password filtering is not implemented.</t>
  </si>
  <si>
    <t>V6.2.12</t>
  </si>
  <si>
    <t>Verify that passwords submitted during account registration or password changes are checked against a set of breached passwords.</t>
  </si>
  <si>
    <t>Breached password detection is not implemented.</t>
  </si>
  <si>
    <t>V6.3</t>
  </si>
  <si>
    <t>General Authentication Security</t>
  </si>
  <si>
    <t>V6.3.1</t>
  </si>
  <si>
    <t>Verify that controls to prevent attacks such as credential stuffing and password brute force are implemented according to the application's security documentation.</t>
  </si>
  <si>
    <t>Brute-force and credential stuffing protections such as rate limiting are planned but not fully implemented.</t>
  </si>
  <si>
    <t>V6.3.2</t>
  </si>
  <si>
    <t>Verify that default user accounts (e.g., "root", "admin", or "sa") are not present in the application or are disabled.</t>
  </si>
  <si>
    <t>Default administrative or database accounts are not exposed through the application authentication layer.</t>
  </si>
  <si>
    <t>V6.3.3</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</si>
  <si>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</si>
  <si>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Multi-factor authentication is not implemented in the current project scope.</t>
  </si>
  <si>
    <t>V6.3.4</t>
  </si>
  <si>
    <t>Verify that, if the application includes multiple authentication pathways, there are no undocumented pathways and that security controls and authentication strength are enforced consistently.</t>
  </si>
  <si>
    <t>The application currently supports a single JWT-based authentication pathway.</t>
  </si>
  <si>
    <t>V6.3.5</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</si>
  <si>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</si>
  <si>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Suspicious authentication attempt notifications are not implemented.</t>
  </si>
  <si>
    <t>V6.3.6</t>
  </si>
  <si>
    <t>Verify that email is not used as either a single-factor or multi-factor authentication mechanism.</t>
  </si>
  <si>
    <t>Email is not used as an authentication factor in the current design.</t>
  </si>
  <si>
    <t>V6.3.7</t>
  </si>
  <si>
    <t>Verify that users are notified after updates to authentication details, such as credential resets or modification of the username or email address.</t>
  </si>
  <si>
    <t>Notifications for credential or authentication detail changes are not implemented.</t>
  </si>
  <si>
    <t>V6.3.8</t>
  </si>
  <si>
    <t>Verify that valid users cannot be deduced from failed authentication challenges, such as by basing on error messages, HTTP response codes, or different response times. Registration and forgot password functionality must also have this protection.</t>
  </si>
  <si>
    <t>Authentication error responses are designed to reduce user enumeration risks through generic authentication failure handling.</t>
  </si>
  <si>
    <t>V6.4</t>
  </si>
  <si>
    <t>Authentication Factor Lifecycle and Recovery</t>
  </si>
  <si>
    <t>V6.4.1</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</si>
  <si>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</si>
  <si>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System-generated passwords or activation codes are not used in the current authentication workflow.</t>
  </si>
  <si>
    <t>V6.4.2</t>
  </si>
  <si>
    <t>Verify that password hints or knowledge-based authentication (so-called "secret questions") are not present.</t>
  </si>
  <si>
    <t>Knowledge-based authentication and secret questions are not implemented.</t>
  </si>
  <si>
    <t>V6.4.3</t>
  </si>
  <si>
    <t>Verify that a secure process for resetting a forgotten password is implemented, that does not bypass any enabled multi-factor authentication mechanisms.</t>
  </si>
  <si>
    <t>Secure password recovery and reset workflows are not implemented.</t>
  </si>
  <si>
    <t>V6.4.4</t>
  </si>
  <si>
    <t>Verify that if a multi-factor authentication factor is lost, evidence of identity proofing is performed at the same level as during enrollment.</t>
  </si>
  <si>
    <t>Multi-factor authentication recovery flows are not implemented.</t>
  </si>
  <si>
    <t>V6.4.5</t>
  </si>
  <si>
    <t>Verify that renewal instructions for authentication mechanisms which expire are sent with enough time to be carried out before the old authentication mechanism expires, configuring automated reminders if necessary.</t>
  </si>
  <si>
    <t>Expiring authentication factor renewal workflows are not implemented.</t>
  </si>
  <si>
    <t>V6.4.6</t>
  </si>
  <si>
    <t>Verify that administrative users can initiate the password reset process for the user, but that this does not allow them to change or choose the user's password. This prevents a situation where they know the user's password.</t>
  </si>
  <si>
    <t>Administrative password reset delegation is not implemented.</t>
  </si>
  <si>
    <t>V6.5</t>
  </si>
  <si>
    <t>General Multi-factor authentication requirements</t>
  </si>
  <si>
    <t>V6.5.1</t>
  </si>
  <si>
    <t>Verify that lookup secrets, out-of-band authentication requests or codes, and time-based one-time passwords (TOTPs) are only successfully usable once.</t>
  </si>
  <si>
    <t>Multi-factor authentication and TOTP mechanisms are not implemented in the current project scope.</t>
  </si>
  <si>
    <t>V6.5.2</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</si>
  <si>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</si>
  <si>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V6.5.3</t>
  </si>
  <si>
    <t>Verify that lookup secrets, out-of-band authentication code, and time-based one-time password seeds, are generated using a Cryptographically Secure Pseudorandom Number Generator (CSPRNG) to avoid predictable values.</t>
  </si>
  <si>
    <t>V6.5.4</t>
  </si>
  <si>
    <t>Verify that lookup secrets and out-of-band authentication codes have a minimum of 20 bits of entropy (typically 4 random alphanumeric characters or 6 random digits is sufficient).</t>
  </si>
  <si>
    <t>V6.5.5</t>
  </si>
  <si>
    <t>Verify that out-of-band authentication requests, codes, or tokens, as well as time-based one-time passwords (TOTPs) have a defined lifetime. Out of band requests must have a maximum lifetime of 10 minutes and for TOTP a maximum lifetime of 30 seconds.</t>
  </si>
  <si>
    <t>V6.5.6</t>
  </si>
  <si>
    <t>Verify that any authentication factor (including physical devices) can be revoked in case of theft or other loss.</t>
  </si>
  <si>
    <t>V6.5.7</t>
  </si>
  <si>
    <t>Verify that biometric authentication mechanisms are only used as secondary factors together with either something you have or something you know.</t>
  </si>
  <si>
    <t>V6.5.8</t>
  </si>
  <si>
    <t>Verify that time-based one-time passwords (TOTPs) are checked based on a time source from a trusted service and not from an untrusted or client provided time.</t>
  </si>
  <si>
    <t>V6.6</t>
  </si>
  <si>
    <t>Out-of-Band authentication mechanisms</t>
  </si>
  <si>
    <t>V6.6.1</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</si>
  <si>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</si>
  <si>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Out-of-band authentication mechanisms such as SMS or OTP delivery are not implemented.</t>
  </si>
  <si>
    <t>V6.6.2</t>
  </si>
  <si>
    <t>Verify that out-of-band authentication requests, codes, or tokens are bound to the original authentication request for which they were generated and are not usable for a previous or subsequent one.</t>
  </si>
  <si>
    <t>V6.6.3</t>
  </si>
  <si>
    <t>Verify that a code based out-of-band authentication mechanism is protected against brute force attacks by using rate limiting. Consider also using a code with at least 64 bits of entropy.</t>
  </si>
  <si>
    <t>V6.6.4</t>
  </si>
  <si>
    <t>Verify that, where push notifications are used for multi-factor authentication, rate limiting is used to prevent push bombing attacks. Number matching may also mitigate this risk.</t>
  </si>
  <si>
    <t>V6.7</t>
  </si>
  <si>
    <t>Cryptographic authentication mechanism</t>
  </si>
  <si>
    <t>V6.7.1</t>
  </si>
  <si>
    <t>Verify that the certificates used to verify cryptographic authentication assertions are stored in a way protects them from modification.</t>
  </si>
  <si>
    <t>JWT signing secrets are managed server-side and protected from unauthorized modification.</t>
  </si>
  <si>
    <t>V6.7.2</t>
  </si>
  <si>
    <t>Verify that the challenge nonce is at least 64 bits in length, and statistically unique or unique over the lifetime of the cryptographic device.</t>
  </si>
  <si>
    <t>Hardware-based cryptographic challenge-response authentication is not implemented.</t>
  </si>
  <si>
    <t>V6.8</t>
  </si>
  <si>
    <t>Authentication with an Identity Provider</t>
  </si>
  <si>
    <t>V6.8.1</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</si>
  <si>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</si>
  <si>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External Identity Provider integration (OIDC, OAuth2, SAML) is not implemented in the current authentication architecture.</t>
  </si>
  <si>
    <t>V6.8.2</t>
  </si>
  <si>
    <t>Verify that the presence and integrity of digital signatures on authentication assertions (for example on JWTs or SAML assertions) are always validated, rejecting any assertions that are unsigned or have invalid signatures.</t>
  </si>
  <si>
    <t>V6.8.3</t>
  </si>
  <si>
    <t>Verify that SAML assertions are uniquely processed and used only once within the validity period to prevent replay attacks.</t>
  </si>
  <si>
    <t>V6.8.4</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</si>
  <si>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</si>
  <si>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V7.1</t>
  </si>
  <si>
    <t>Session Management Documentation</t>
  </si>
  <si>
    <t>V7.1.1</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</si>
  <si>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</si>
  <si>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SR18 &amp; SR19</t>
  </si>
  <si>
    <t>V7.1.2</t>
  </si>
  <si>
    <t>Verify that the documentation defines how many concurrent (parallel) sessions are allowed for one account as well as the intended behaviors and actions to be taken when the maximum number of active sessions is reached.</t>
  </si>
  <si>
    <t>SR20</t>
  </si>
  <si>
    <t>V7.1.3</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</si>
  <si>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</si>
  <si>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V7.2</t>
  </si>
  <si>
    <t>Fundamental Session Management Security</t>
  </si>
  <si>
    <t>V7.2.1</t>
  </si>
  <si>
    <t>Verify that the application performs all session token verification using a trusted, backend service.</t>
  </si>
  <si>
    <t>Session tokens are validated exclusively within trusted backend services using Spring Security and a custom JWT authentication filter. Token integrity and authenticity are verified through cryptographic signature validation, and token expiration is enforced server-side before establishing an authenticated security context. Authorization decisions are implemented exclusively on the backend using role-based access controls.</t>
  </si>
  <si>
    <t>https://github.com/mei-desofs/desofs2026-wed_nap_5/tree/main/src/main/java/com/grupo/learningmore/security</t>
  </si>
  <si>
    <t>V7.2.2</t>
  </si>
  <si>
    <t>Verify that the application uses either self-contained or reference tokens that are dynamically generated for session management, i.e. not using static API secrets and keys.</t>
  </si>
  <si>
    <t>The application uses dynamically generated self-contained JWT tokens for session management. Tokens are cryptographically signed using HS256, include expiration timestamps, and are validated server-side through Spring Security filters. Static API keys or hardcoded session tokens are not used for user session management.</t>
  </si>
  <si>
    <t>https://github.com/mei-desofs/desofs2026-wed_nap_5/blob/main/src/main/java/com/grupo/learningmore/security/JwtService.java</t>
  </si>
  <si>
    <t>V7.2.3</t>
  </si>
  <si>
    <t>Verify that if reference tokens are used to represent user sessions, they are unique and generated using a cryptographically secure pseudo-random number generator (CSPRNG) and possess at least 128 bits of entropy.</t>
  </si>
  <si>
    <t>The application uses self-contained JWT tokens rather than reference session tokens.Because of that, server-side reference token entropy requirements are not applicable.</t>
  </si>
  <si>
    <t>V7.2.4</t>
  </si>
  <si>
    <t>Verify that the application generates a new session token on user authentication, including re-authentication, and terminates the current session token.</t>
  </si>
  <si>
    <t>Needs token revokation</t>
  </si>
  <si>
    <t>V7.3</t>
  </si>
  <si>
    <t>Session Timeout</t>
  </si>
  <si>
    <t>V7.3.1</t>
  </si>
  <si>
    <t>Verify that there is an inactivity timeout such that re-authentication is enforced according to risk analysis and documented security decisions.</t>
  </si>
  <si>
    <t>V7.3.2</t>
  </si>
  <si>
    <t>Verify that there is an absolute maximum session lifetime such that re-authentication is enforced according to risk analysis and documented security decisions.</t>
  </si>
  <si>
    <t xml:space="preserve"> Value("${jwt.expiration:86400000}")
    private long expiration; </t>
  </si>
  <si>
    <t>V7.4</t>
  </si>
  <si>
    <t>Session Termination</t>
  </si>
  <si>
    <t>V7.4.1</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</si>
  <si>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</si>
  <si>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V7.4.2</t>
  </si>
  <si>
    <t>Verify that the application terminates all active sessions when a user account is disabled or deleted (such as an employee leaving the company).</t>
  </si>
  <si>
    <t xml:space="preserve">in a real life  situtation, student can still acess it's school account years after   </t>
  </si>
  <si>
    <t>V7.4.3</t>
  </si>
  <si>
    <t>Verify that the application gives the option to terminate all other active sessions after a successful change or removal of any authentication factor (including password change via reset or recovery and, if present, an MFA settings update).</t>
  </si>
  <si>
    <t>V7.4.4</t>
  </si>
  <si>
    <t>Verify that all pages that require authentication have easy and visible access to logout functionality.</t>
  </si>
  <si>
    <t>V7.4.5</t>
  </si>
  <si>
    <t>Verify that application administrators are able to terminate active sessions for an individual user or for all users.</t>
  </si>
  <si>
    <t>V7.5</t>
  </si>
  <si>
    <t>Defenses Against Session Abuse</t>
  </si>
  <si>
    <t>V7.5.1</t>
  </si>
  <si>
    <t>Verify that the application requires full re-authentication before allowing modifications to sensitive account attributes which may affect authentication such as email address, phone number, MFA configuration, or other information used in account recovery.</t>
  </si>
  <si>
    <t>V7.5.2</t>
  </si>
  <si>
    <t>Verify that users are able to view and (having authenticated again with at least one factor) terminate any or all currently active sessions.</t>
  </si>
  <si>
    <t>V7.5.3</t>
  </si>
  <si>
    <t>Verify that the application requires further authentication with at least one factor or secondary verification before performing highly sensitive transactions or operations.</t>
  </si>
  <si>
    <t>V7.6</t>
  </si>
  <si>
    <t>Federated Re-authentication</t>
  </si>
  <si>
    <t>V7.6.1</t>
  </si>
  <si>
    <t>Verify that session lifetime and termination between Relying Parties (RPs) and Identity Providers (IdPs) behave as documented, requiring re-authentication as necessary such as when the maximum time between IdP authentication events is reached.</t>
  </si>
  <si>
    <t>V7.6.2</t>
  </si>
  <si>
    <t>Verify that creation of a session requires either the user's consent or an explicit action, preventing the creation of new application sessions without user interaction.</t>
  </si>
  <si>
    <t>V8.1</t>
  </si>
  <si>
    <t>Authorization Documentation</t>
  </si>
  <si>
    <t>V8.1.1</t>
  </si>
  <si>
    <t>Verify that authorization documentation defines rules for restricting function-level and data-specific access based on consumer permissions and resource attributes.</t>
  </si>
  <si>
    <t>Está previsto o sistema ter as roles Admin, professor e student</t>
  </si>
  <si>
    <t>FR2, SR4, SR5</t>
  </si>
  <si>
    <t>V8.1.2</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</si>
  <si>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</si>
  <si>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Field-level and data access restrictions are partially defined through functional requirements and RBAC logic.</t>
  </si>
  <si>
    <t>FR8-18, SR4, SR5</t>
  </si>
  <si>
    <t>V8.1.3</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</si>
  <si>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</si>
  <si>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V8.1.4</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</si>
  <si>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</si>
  <si>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Authorization and authentication mechanisms are defined through RBAC and secure session/token handling.</t>
  </si>
  <si>
    <t>V8.2</t>
  </si>
  <si>
    <t>General Authorization Design</t>
  </si>
  <si>
    <t>V8.2.1</t>
  </si>
  <si>
    <t>Verify that the application ensures that function-level access is restricted to consumers with explicit permissions.</t>
  </si>
  <si>
    <t>Function-level access is enforced through role-based access control (Admin, Professor, Student).</t>
  </si>
  <si>
    <t>https://github.com/mei-desofs/desofs2026-wed_nap_5/blob/main/src/main/java/com/grupo/learningmore/api/CourseController.java</t>
  </si>
  <si>
    <t>V8.2.2</t>
  </si>
  <si>
    <t>Verify that the application ensures that data-specific access is restricted to consumers with explicit permissions to specific data items to mitigate insecure direct object reference (IDOR) and broken object level authorization (BOLA).</t>
  </si>
  <si>
    <t>Access to data is restricted based on user role and course enrollment validation.</t>
  </si>
  <si>
    <t>V8.2.3</t>
  </si>
  <si>
    <t>Verify that the application ensures that field-level access is restricted to consumers with explicit permissions to specific fields to mitigate broken object property level authorization (BOPLA).</t>
  </si>
  <si>
    <t>V8.2.4</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</si>
  <si>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</si>
  <si>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V8.3</t>
  </si>
  <si>
    <t>Operation Level Authorization</t>
  </si>
  <si>
    <t>V8.3.1</t>
  </si>
  <si>
    <t>Verify that the application enforces authorization rules at a trusted service layer and doesn't rely on controls that an untrusted consumer could manipulate, such as client-side JavaScript.</t>
  </si>
  <si>
    <t>Authorization is enforced at the server-side API layer and does not rely on client-side controls.</t>
  </si>
  <si>
    <t>The application enforces all authorization decisions exclusively on the backend trusted service layer using Spring Security. Access control is implemented through server-side role checks (@PreAuthorize and HTTP request matchers), and the client is not trusted to perform or influence authorization decisions. Client-side logic, if present, is used only for UI rendering and does not enforce security controls.</t>
  </si>
  <si>
    <t>V8.3.2</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</si>
  <si>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</si>
  <si>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V8.3.3</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</si>
  <si>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</si>
  <si>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Access control decisions are based on the authenticated user and ownership or enrollment relationships.</t>
  </si>
  <si>
    <t>V8.4</t>
  </si>
  <si>
    <t>Other Authorization Considerations</t>
  </si>
  <si>
    <t>V8.4.1</t>
  </si>
  <si>
    <t>Verify that multi-tenant applications use cross-tenant controls to ensure consumer operations will never affect tenants with which they do not have permissions to interact.</t>
  </si>
  <si>
    <t>V8.4.2</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</si>
  <si>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</si>
  <si>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Administrative access is protected through RBAC and authentication mechanisms, with additional logging controls.</t>
  </si>
  <si>
    <t>SR2, SR4, SR16</t>
  </si>
  <si>
    <t>V9.1</t>
  </si>
  <si>
    <t>Token source and integrity</t>
  </si>
  <si>
    <t>V9.1.1</t>
  </si>
  <si>
    <t>Verify that self-contained tokens are validated using their digital signature or MAC to protect against tampering before accepting the token's contents.</t>
  </si>
  <si>
    <t>JWT self-contained tokens are validated through cryptographic signature verification before authentication is established. Invalid or tampered tokens are rejected by the backend authentication filter.</t>
  </si>
  <si>
    <t>JwtService.java; JwtAuthenticationFilter.java</t>
  </si>
  <si>
    <t>V9.1.2</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</si>
  <si>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</si>
  <si>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The application explicitly uses the HS256 algorithm for JWT signing and validation. Unsupported or insecure algorithms such as none are not accepted.</t>
  </si>
  <si>
    <t>JwtService.java</t>
  </si>
  <si>
    <t>V9.1.3</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</si>
  <si>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</si>
  <si>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JWT signing keys are locally configured and managed by trusted backend configuration. External untrusted key sources are not supported.</t>
  </si>
  <si>
    <t>JwtService.java; application.properties</t>
  </si>
  <si>
    <t>V9.2</t>
  </si>
  <si>
    <t>Token content</t>
  </si>
  <si>
    <t>V9.2.1</t>
  </si>
  <si>
    <t>Verify that, if a validity time span is present in the token data, the token and its content are accepted only if the verification time is within this validity time span. For example, for JWTs, the claims 'nbf' and 'exp' must be verified.</t>
  </si>
  <si>
    <t>JWT expiration validation is enforced server-side before establishing the authenticated security context. Expired tokens are rejected.</t>
  </si>
  <si>
    <t>V9.2.2</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</si>
  <si>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</si>
  <si>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JWT access tokens are validated before authorization decisions are performed. Additional token typing and validation hardening may be added in future iterations.</t>
  </si>
  <si>
    <t>JwtAuthenticationFilter.java</t>
  </si>
  <si>
    <t>V9.2.3</t>
  </si>
  <si>
    <t>Verify that the service only accepts tokens which are intended for use with that service (audience). For JWTs, this can be achieved by validating the 'aud' claim against an allowlist defined in the service.</t>
  </si>
  <si>
    <t>Audience (aud) claim validation is not currently implemented in the JWT validation process.</t>
  </si>
  <si>
    <t>V9.2.4</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</si>
  <si>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</si>
  <si>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The application does not issue JWT tokens for multiple audiences or external services.</t>
  </si>
  <si>
    <t>V10.1</t>
  </si>
  <si>
    <t>Generic OAuth and OIDC Security</t>
  </si>
  <si>
    <t>V10.1.1</t>
  </si>
  <si>
    <t>Verify that tokens are only sent to components that strictly need them. For example, when using a backend-for-frontend pattern for browser-based JavaScript applications, access and refresh tokens shall only be accessible for the backend.</t>
  </si>
  <si>
    <t>OAuth2/OIDC flows are not implemented in the current authentication architecture. The application uses internally issued JWT Bearer tokens instead.</t>
  </si>
  <si>
    <t>V10.1.2</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</si>
  <si>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</si>
  <si>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V10.2</t>
  </si>
  <si>
    <t>OAuth Client</t>
  </si>
  <si>
    <t>V10.2.1</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</si>
  <si>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</si>
  <si>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OAuth2/OIDC flows are not implemented in the current authentication architecture. The application uses internally issued JWT Bearer tokens.</t>
  </si>
  <si>
    <t>V10.2.2</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</si>
  <si>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</si>
  <si>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V10.2.3</t>
  </si>
  <si>
    <t>Verify that the OAuth client only requests the required scopes (or other authorization parameters) in requests to the authorization server.</t>
  </si>
  <si>
    <t>V10.3</t>
  </si>
  <si>
    <t>OAuth Resource Server</t>
  </si>
  <si>
    <t>V10.3.1</t>
  </si>
  <si>
    <t>Verify that the resource server only accepts access tokens that are intended for use with that service (audience). The audience may be included in a structured access token (such as the 'aud' claim in JWT), or it can be checked using the token introspection endpoint.</t>
  </si>
  <si>
    <t>V10.3.2</t>
  </si>
  <si>
    <t>Verify that the resource server enforces authorization decisions based on claims from the access token that define delegated authorization. If claims such as 'sub', 'scope', and 'authorization_details' are present, they must be part of the decision.</t>
  </si>
  <si>
    <t>V10.3.3</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</si>
  <si>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</si>
  <si>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V10.3.4</t>
  </si>
  <si>
    <t>Verify that, if the resource server requires specific authentication strength, methods, or recentness, it verifies that the presented access token satisfies these constraints. For example, if present, using the OIDC 'acr', 'amr' and 'auth_time' claims respectively.</t>
  </si>
  <si>
    <t>V10.3.5</t>
  </si>
  <si>
    <t>Verify that the resource server prevents the use of stolen access tokens or replay of access tokens (from unauthorized parties) by requiring sender-constrained access tokens, either Mutual TLS for OAuth 2 or OAuth 2 Demonstration of Proof of Possession (DPoP).</t>
  </si>
  <si>
    <t>V10.4</t>
  </si>
  <si>
    <t>OAuth Authorization Server</t>
  </si>
  <si>
    <t>V10.4.1</t>
  </si>
  <si>
    <t>Verify that the authorization server validates redirect URIs based on a client-specific allowlist of pre-registered URIs using exact string comparison.</t>
  </si>
  <si>
    <t>V10.4.2</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</si>
  <si>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</si>
  <si>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V10.4.3</t>
  </si>
  <si>
    <t>Verify that the authorization code is short-lived. The maximum lifetime can be up to 10 minutes for L1 and L2 applications and up to 1 minute for L3 applications.</t>
  </si>
  <si>
    <t>V10.4.4</t>
  </si>
  <si>
    <t>Verify that for a given client, the authorization server only allows the usage of grants that this client needs to use. Note that the grants 'token' (Implicit flow) and 'password' (Resource Owner Password Credentials flow) must no longer be used.</t>
  </si>
  <si>
    <t>V10.4.5</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</si>
  <si>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</si>
  <si>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V10.4.6</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</si>
  <si>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</si>
  <si>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V10.4.7</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</si>
  <si>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</si>
  <si>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V10.4.8</t>
  </si>
  <si>
    <t>Verify that refresh tokens have an absolute expiration, including if sliding refresh token expiration is applied.</t>
  </si>
  <si>
    <t>V10.4.9</t>
  </si>
  <si>
    <t>Verify that refresh tokens and reference access tokens can be revoked by an authorized user using the authorization server user interface, to mitigate the risk of malicious clients or stolen tokens.</t>
  </si>
  <si>
    <t>V10.4.10</t>
  </si>
  <si>
    <t>Verify that confidential client is authenticated for client-to-authorized server backchannel requests such as token requests, pushed authorization requests (PAR), and token revocation requests.</t>
  </si>
  <si>
    <t>V10.4.11</t>
  </si>
  <si>
    <t>Verify that the authorization server configuration only assigns the required scopes to the OAuth client.</t>
  </si>
  <si>
    <t>V10.4.12</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</si>
  <si>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</si>
  <si>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V10.4.13</t>
  </si>
  <si>
    <t>Verify that grant type 'code' is always used together with pushed authorization requests (PAR).</t>
  </si>
  <si>
    <t>V10.4.14</t>
  </si>
  <si>
    <t>Verify that the authorization server issues only sender-constrained (Proof-of-Possession) access tokens, either with certificate-bound access tokens using mutual TLS (mTLS) or DPoP-bound access tokens (Demonstration of Proof of Possession).</t>
  </si>
  <si>
    <t>V10.4.15</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</si>
  <si>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</si>
  <si>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V10.4.16</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</si>
  <si>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</si>
  <si>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V10.5</t>
  </si>
  <si>
    <t>OIDC Client</t>
  </si>
  <si>
    <t>V10.5.1</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</si>
  <si>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</si>
  <si>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V10.5.2</t>
  </si>
  <si>
    <t>Verify that the client uniquely identifies the user from ID Token claims, usually the 'sub' claim, which cannot be reassigned to other users (for the scope of an identity provider).</t>
  </si>
  <si>
    <t>V10.5.3</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</si>
  <si>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</si>
  <si>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V10.5.4</t>
  </si>
  <si>
    <t>Verify that the client validates that the ID Token is intended to be used for that client (audience) by checking that the 'aud' claim from the token is equal to the 'client_id' value for the client.</t>
  </si>
  <si>
    <t>V10.5.5</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</si>
  <si>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</si>
  <si>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V10.6</t>
  </si>
  <si>
    <t>OpenID Provider</t>
  </si>
  <si>
    <t>V10.6.1</t>
  </si>
  <si>
    <t>Verify that the OpenID Provider only allows values 'code', 'ciba', 'id_token', or 'id_token code' for response mode. Note that 'code' is preferred over 'id_token code' (the OIDC Hybrid flow), and 'token' (any Implicit flow) must not be used.</t>
  </si>
  <si>
    <t>V10.6.2</t>
  </si>
  <si>
    <t>Verify that the OpenID Provider mitigates denial of service through forced logout. By obtaining explicit confirmation from the end-user or, if present, validating parameters in the logout request (initiated by the relying party), such as the 'id_token_hint'.</t>
  </si>
  <si>
    <t>V10.7</t>
  </si>
  <si>
    <t>Consent Management</t>
  </si>
  <si>
    <t>V10.7.1</t>
  </si>
  <si>
    <t>Verify that the authorization server ensures that the user consents to each authorization request. If the identity of the client cannot be assured, the authorization server must always explicitly prompt the user for consent.</t>
  </si>
  <si>
    <t>V10.7.2</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</si>
  <si>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</si>
  <si>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V10.7.3</t>
  </si>
  <si>
    <t>Verify that the user can review, modify, and revoke consents which the user has granted through the authorization server.</t>
  </si>
  <si>
    <t>V11.1</t>
  </si>
  <si>
    <t>Cryptographic Inventory and Documentation</t>
  </si>
  <si>
    <t>V11.1.1</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</si>
  <si>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</si>
  <si>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V11.1.2</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</si>
  <si>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</si>
  <si>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V11.1.3</t>
  </si>
  <si>
    <t>Verify that cryptographic discovery mechanisms are employed to identify all instances of cryptography in the system, including encryption, hashing, and signing operations.</t>
  </si>
  <si>
    <t>V11.1.4</t>
  </si>
  <si>
    <t>Verify that a cryptographic inventory is maintained. This must include a documented plan that outlines the migration path to new cryptographic standards, such as post-quantum cryptography, in order to react to future threats.</t>
  </si>
  <si>
    <t>V11.2</t>
  </si>
  <si>
    <t>Secure Cryptography Implementation</t>
  </si>
  <si>
    <t>V11.2.1</t>
  </si>
  <si>
    <t>Verify that industry-validated implementations (including libraries and hardware-accelerated implementations) are used for cryptographic operations.</t>
  </si>
  <si>
    <t>V11.2.2</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</si>
  <si>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</si>
  <si>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V11.2.3</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</si>
  <si>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</si>
  <si>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V11.2.4</t>
  </si>
  <si>
    <t>Verify that all cryptographic operations are constant-time, with no 'short-circuit' operations in comparisons, calculations, or returns, to avoid leaking information.</t>
  </si>
  <si>
    <t>V11.2.5</t>
  </si>
  <si>
    <t>Verify that all cryptographic modules fail securely, and errors are handled in a way that does not enable vulnerabilities, such as Padding Oracle attacks.</t>
  </si>
  <si>
    <t>V11.3</t>
  </si>
  <si>
    <t>Encryption Algorithms</t>
  </si>
  <si>
    <t>V11.3.1</t>
  </si>
  <si>
    <t>Verify that insecure block modes (e.g., ECB) and weak padding schemes (e.g., PKCS#1 v1.5) are not used.</t>
  </si>
  <si>
    <t>V11.3.2</t>
  </si>
  <si>
    <t>Verify that only approved ciphers and modes such as AES with GCM are used.</t>
  </si>
  <si>
    <t>V11.3.3</t>
  </si>
  <si>
    <t>Verify that encrypted data is protected against unauthorized modification preferably by using an approved authenticated encryption method or by combining an approved encryption method with an approved MAC algorithm.</t>
  </si>
  <si>
    <t>V11.3.4</t>
  </si>
  <si>
    <t>Verify that nonces, initialization vectors, and other single-use numbers are not used for more than one encryption key and data-element pair. The method of generation must be appropriate for the algorithm being used.</t>
  </si>
  <si>
    <t>V11.3.5</t>
  </si>
  <si>
    <t>Verify that any combination of an encryption algorithm and a MAC algorithm is operating in encrypt-then-MAC mode.</t>
  </si>
  <si>
    <t>V11.4</t>
  </si>
  <si>
    <t>Hashing and Hash-based Functions</t>
  </si>
  <si>
    <t>V11.4.1</t>
  </si>
  <si>
    <t>Verify that only approved hash functions are used for general cryptographic use cases, including digital signatures, HMAC, KDF, and random bit generation. Disallowed hash functions, such as MD5, must not be used for any cryptographic purpose.</t>
  </si>
  <si>
    <t>V11.4.2</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</si>
  <si>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</si>
  <si>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V11.4.3</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</si>
  <si>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</si>
  <si>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V11.4.4</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</si>
  <si>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</si>
  <si>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V11.5</t>
  </si>
  <si>
    <t>Random Values</t>
  </si>
  <si>
    <t>V11.5.1</t>
  </si>
  <si>
    <t>Verify that all random numbers and strings which are intended to be non-guessable must be generated using a cryptographically secure pseudo-random number generator (CSPRNG) and have at least 128 bits of entropy. Note that UUIDs do not respect this condition.</t>
  </si>
  <si>
    <t>V11.5.2</t>
  </si>
  <si>
    <t>Verify that the random number generation mechanism in use is designed to work securely, even under heavy demand.</t>
  </si>
  <si>
    <t>V11.6</t>
  </si>
  <si>
    <t>Public Key Cryptography</t>
  </si>
  <si>
    <t>V11.6.1</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</si>
  <si>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</si>
  <si>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V11.6.2</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</si>
  <si>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</si>
  <si>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V11.7</t>
  </si>
  <si>
    <t>In-Use Data Cryptography</t>
  </si>
  <si>
    <t>V11.7.1</t>
  </si>
  <si>
    <t>Verify that full memory encryption is in use that protects sensitive data while it is in use, preventing access by unauthorized users or processes.</t>
  </si>
  <si>
    <t>V11.7.2</t>
  </si>
  <si>
    <t>Verify that data minimization ensures the minimal amount of data is exposed during processing, and ensure that data is encrypted immediately after use or as soon as feasible.</t>
  </si>
  <si>
    <t>V12.1</t>
  </si>
  <si>
    <t>General TLS Security Guidance</t>
  </si>
  <si>
    <t>V12.1.1</t>
  </si>
  <si>
    <t>Verify that only the latest recommended versions of the TLS protocol are enabled, such as TLS 1.2 and TLS 1.3. The latest version of the TLS protocol must be the preferred option.</t>
  </si>
  <si>
    <t>The project is designed to support TLS 1.3 secure communications for external connections. Final TLS deployment configuration is environment dependent.</t>
  </si>
  <si>
    <t>V12.1.2</t>
  </si>
  <si>
    <t>Verify that only recommended cipher suites are enabled, with the strongest cipher suites set as preferred. L3 applications must only support cipher suites which provide forward secrecy.</t>
  </si>
  <si>
    <t>Recommended cipher suite hardening has not yet been explicitly configured or validated.</t>
  </si>
  <si>
    <t>V12.1.3</t>
  </si>
  <si>
    <t>Verify that the application validates that mTLS client certificates are trusted before using the certificate identity for authentication or authorization.</t>
  </si>
  <si>
    <t>Mutual TLS client authentication is not implemented in the current architecture.</t>
  </si>
  <si>
    <t>V12.1.4</t>
  </si>
  <si>
    <t>Verify that proper certification revocation, such as Online Certificate Status Protocol (OCSP) Stapling, is enabled and configured.</t>
  </si>
  <si>
    <t>OCSP stapling and certificate revocation validation are not configured in the current deployment stage.</t>
  </si>
  <si>
    <t>V12.1.5</t>
  </si>
  <si>
    <t>Verify that Encrypted Client Hello (ECH) is enabled in the application's TLS settings to prevent exposure of sensitive metadata, such as the Server Name Indication (SNI), during TLS handshake processes.</t>
  </si>
  <si>
    <t>Encrypted Client Hello (ECH) is not configured in the current deployment stage.</t>
  </si>
  <si>
    <t>V12.2</t>
  </si>
  <si>
    <t>HTTPS Communication with External Facing Services</t>
  </si>
  <si>
    <t>V12.2.1</t>
  </si>
  <si>
    <t>Verify that TLS is used for all connectivity between a client and external facing, HTTP-based services, and does not fall back to insecure or unencrypted communications.</t>
  </si>
  <si>
    <t>HTTPS/TLS is enforced for external communications in deployment environments. Local development currently uses HTTP during development/testing stages.</t>
  </si>
  <si>
    <t>http://localhost:9393</t>
  </si>
  <si>
    <t>V12.2.2</t>
  </si>
  <si>
    <t>Verify that external facing services use publicly trusted TLS certificates.</t>
  </si>
  <si>
    <t>V12.3</t>
  </si>
  <si>
    <t>General Service to Service Communication Security</t>
  </si>
  <si>
    <t>V12.3.1</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</si>
  <si>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</si>
  <si>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The architecture requires TLS-secured communications for internal and external service interactions. Final infrastructure enforcement depends on deployment configuration.</t>
  </si>
  <si>
    <t>V12.3.2</t>
  </si>
  <si>
    <t>Verify that TLS clients validate certificates received before communicating with a TLS server.</t>
  </si>
  <si>
    <t>V12.3.3</t>
  </si>
  <si>
    <t>Verify that TLS or another appropriate transport encryption mechanism used for all connectivity between internal, HTTP-based services within the application, and does not fall back to insecure or unencrypted communications.</t>
  </si>
  <si>
    <t>Transport layer encryption is applied to internal service communication to ensure confidentiality and integrity.</t>
  </si>
  <si>
    <t>V12.3.4</t>
  </si>
  <si>
    <t>Verify that TLS connections between internal services use trusted certificates. Where internally generated or self-signed certificates are used, the consuming service must be configured to only trust specific internal CAs and specific self-signed certificates.</t>
  </si>
  <si>
    <t>V12.3.5</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</si>
  <si>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</si>
  <si>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V13.1</t>
  </si>
  <si>
    <t>Configuration Documentation</t>
  </si>
  <si>
    <t>V13.1.1</t>
  </si>
  <si>
    <t>Verify that all communication needs for the application are documented. This must include external services which the application relies upon and cases where an end user might be able to provide an external location to which the application will then connect.</t>
  </si>
  <si>
    <t>V13.1.2</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</si>
  <si>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</si>
  <si>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V13.1.3</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</si>
  <si>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</si>
  <si>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V13.1.4</t>
  </si>
  <si>
    <t>Verify that the application's documentation defines the secrets that are critical for the security of the application and a schedule for rotating them, based on the organization's threat model and business requirements.</t>
  </si>
  <si>
    <t>V13.2</t>
  </si>
  <si>
    <t>Backend Communication Configuration</t>
  </si>
  <si>
    <t>V13.2.1</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</si>
  <si>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</si>
  <si>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V13.2.2</t>
  </si>
  <si>
    <t>Verify that communications between backend application components, including local or operating system services, APIs, middleware, and data layers, are performed with accounts assigned the least necessary privileges.</t>
  </si>
  <si>
    <t>V13.2.3</t>
  </si>
  <si>
    <t>Verify that if a credential has to be used for service authentication, the credential being used by the consumer is not a default credential (e.g., root/root or admin/admin).</t>
  </si>
  <si>
    <t>it's being used a custom credential</t>
  </si>
  <si>
    <t>https://github.com/mei-desofs/desofs2026-wed_nap_5/blob/main/src/main/resources/application.properties</t>
  </si>
  <si>
    <t>V13.2.4</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</si>
  <si>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</si>
  <si>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V13.2.5</t>
  </si>
  <si>
    <t>Verify that the web or application server is configured with an allowlist of resources or systems to which the server can send requests or load data or files from.</t>
  </si>
  <si>
    <t>Access to file systems is strictly limited to an authorized and isolated local directory, parameterized via `file.upload-dir=uploads` in `application.properties`.At the network/infrastructure level (local execution environment), communication between components is restricted by an implicit allowlist based on the host's firewall rules and DBMS port mapping, allowing outbound traffic only and exclusively towards the explicit endpoint of the PostgreSQL database (localhost:5432).</t>
  </si>
  <si>
    <t>V13.2.6</t>
  </si>
  <si>
    <t>Verify that where the application connects to separate services, it follows the documented configuration for each connection, such as maximum parallel connections, behavior when maximum allowed connections is reached, connection timeouts, and retry strategies.</t>
  </si>
  <si>
    <t>V13.3</t>
  </si>
  <si>
    <t>Secret Management</t>
  </si>
  <si>
    <t>V13.3.1</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</si>
  <si>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</si>
  <si>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RBAC implemented, needs more work</t>
  </si>
  <si>
    <t>V13.3.2</t>
  </si>
  <si>
    <t>Verify that access to secret assets adheres to the principle of least privilege.</t>
  </si>
  <si>
    <t>V13.3.3</t>
  </si>
  <si>
    <t>Verify that all cryptographic operations are performed using an isolated security module (such as a vault or hardware security module) to securely manage and protect key material from exposure outside of the security module.</t>
  </si>
  <si>
    <t>V13.3.4</t>
  </si>
  <si>
    <t>Verify that secrets are configured to expire and be rotated based on the application's documentation.</t>
  </si>
  <si>
    <t>V13.4</t>
  </si>
  <si>
    <t>Unintended Information Leakage</t>
  </si>
  <si>
    <t>V13.4.1</t>
  </si>
  <si>
    <t>Verify that the application is deployed either without any source control metadata, including the .git or .svn folders, or in a way that these folders are inaccessible both externally and to the application itself.</t>
  </si>
  <si>
    <t>V13.4.2</t>
  </si>
  <si>
    <t>Verify that debug modes are disabled for all components in production environments to prevent exposure of debugging features and information leakage.</t>
  </si>
  <si>
    <t>V13.4.3</t>
  </si>
  <si>
    <t>Verify that web servers do not expose directory listings to clients unless explicitly intended.</t>
  </si>
  <si>
    <t>V13.4.4</t>
  </si>
  <si>
    <t>Verify that using the HTTP TRACE method is not supported in production environments, to avoid potential information leakage.</t>
  </si>
  <si>
    <t>By executing the command curl.exe -i -X TRACE http://localhost:9393/api/users the results were HTTP/1.1 403 
Allow: HEAD, DELETE, POST, GET, OPTIONS, PUT
Content-Length: 0</t>
  </si>
  <si>
    <t>V13.4.5</t>
  </si>
  <si>
    <t>Verify that documentation (such as for internal APIs) and monitoring endpoints are not exposed unless explicitly intended.</t>
  </si>
  <si>
    <t>By executing command curl.exe -i http://localhost:9393/actuator/env this was the result
HTTP/1.1 403 
X-Content-Type-Options: nosniff
X-XSS-Protection: 0
Cache-Control: no-cache, no-store, max-age=0, must-revalidate
Pragma: no-cache
Expires: 0
X-Frame-Options: DENY
Content-Length: 0</t>
  </si>
  <si>
    <t>V13.4.6</t>
  </si>
  <si>
    <t>Verify that the application does not expose detailed version information of backend components.</t>
  </si>
  <si>
    <t>Also the previous command shows that nothing was leaked.The standard server signature headers (such as Server or X-Powered-By) have been completely suppressed from the server response messages.</t>
  </si>
  <si>
    <t>V13.4.7</t>
  </si>
  <si>
    <t>Verify that the web tier is configured to only serve files with specific file extensions to prevent unintentional information, configuration, and source code leakage.</t>
  </si>
  <si>
    <t>The application's web layer is configured to process only requests directed to endpoints explicitly mapped in the API controllers. Unlike traditional web servers, Spring Boot does not expose the native file system's directory tree. Internal configuration files (such as .properties) and compiled source code are isolated within the distribution file (.jar) and inaccessible via HTTP.By perfoming the   curl.exe -i http://localhost:9393/application.properties command it gives a forbidden error.
HTTP/1.1 403 
X-Content-Type-Options: nosniff
X-XSS-Protection: 0
Cache-Control: no-cache, no-store, max-age=0, must-revalidate
Pragma: no-cache
Expires: 0
X-Frame-Options: DENY
Content-Length: 0</t>
  </si>
  <si>
    <t>V14.1</t>
  </si>
  <si>
    <t>Data Protection Documentation</t>
  </si>
  <si>
    <t>V14.1.1</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</si>
  <si>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</si>
  <si>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 xml:space="preserve">Chapter 18:Data Types  </t>
  </si>
  <si>
    <t>V14.1.2</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</si>
  <si>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</si>
  <si>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 xml:space="preserve">Chapter 13: Mitigations </t>
  </si>
  <si>
    <t>V14.2</t>
  </si>
  <si>
    <t>General Data Protection</t>
  </si>
  <si>
    <t>V14.2.1</t>
  </si>
  <si>
    <t>Verify that sensitive data is only sent to the server in the HTTP message body or header fields, and that the URL and query string do not contain sensitive information, such as an API key or session token.</t>
  </si>
  <si>
    <t>This example, focused on UserController@PostMapping, receives confidential data (including email and password in plain text) exclusively through the HTTP Message Body, using the @RequestBody annotation linked to the CreateUserRequest record.</t>
  </si>
  <si>
    <t>https://github.com/mei-desofs/desofs2026-wed_nap_5/blob/main/src/main/java/com/grupo/learningmore/api/UserController.java</t>
  </si>
  <si>
    <t>V14.2.2</t>
  </si>
  <si>
    <t>Verify that the application prevents sensitive data from being cached in server components, such as load balancers and application caches, or ensures that the data is securely purged after use.</t>
  </si>
  <si>
    <t xml:space="preserve">The application delegates the mitigation of volatile data caching to the SecurityFilterChain's native mechanism. </t>
  </si>
  <si>
    <t>https://github.com/mei-desofs/desofs2026-wed_nap_5/blob/main/src/main/java/com/grupo/learningmore/security/SecurityConfig.java</t>
  </si>
  <si>
    <t>V14.2.3</t>
  </si>
  <si>
    <t>Verify that defined sensitive data is not sent to untrusted parties (e.g., user trackers) to prevent unwanted collection of data outside of the application's control.</t>
  </si>
  <si>
    <t>in pom there are no third parties analytics and in the user response the password is never a part of the body</t>
  </si>
  <si>
    <t>V14.2.4</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</si>
  <si>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</si>
  <si>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For Critical Level data (passwords), confidentiality and integrity are irreversibly guaranteed through the BCrypt adaptive algorithm, instantiated via `@Bean PasswordEncoder`.</t>
  </si>
  <si>
    <t>V14.2.5</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</si>
  <si>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</si>
  <si>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V14.2.6</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</si>
  <si>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</si>
  <si>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V14.2.7</t>
  </si>
  <si>
    <t>Verify that sensitive information is subject to data retention classification, ensuring that outdated or unnecessary data is deleted automatically, on a defined schedule, or as the situation requires.</t>
  </si>
  <si>
    <t>V14.2.8</t>
  </si>
  <si>
    <t>Verify that sensitive information is removed from the metadata of user-submitted files unless storage is consented to by the user.</t>
  </si>
  <si>
    <t>V14.3</t>
  </si>
  <si>
    <t>Client-side Data Protection</t>
  </si>
  <si>
    <t>V14.3.1</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</si>
  <si>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</si>
  <si>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 xml:space="preserve"> .logout(logout -&gt; logout
                    .logoutUrl("/api/auth/logout") // Endpoint de logout da API
                    .addLogoutHandler((request, response, authentication) -&gt; {
                        // Força a instrução de destruição de dados no cliente via HTTP Header
                        response.setHeader("Clear-Site-Data", "\"cache\", \"cookies\", \"storage\"");
                    })
                )</t>
  </si>
  <si>
    <t>V14.3.2</t>
  </si>
  <si>
    <t>Verify that the application sets sufficient anti-caching HTTP response header fields (i.e., Cache-Control: no-store) so that sensitive data is not cached in browsers.</t>
  </si>
  <si>
    <t xml:space="preserve">anntation EnableWebSecurity </t>
  </si>
  <si>
    <t>V14.3.3</t>
  </si>
  <si>
    <t>Verify that data stored in browser storage (such as localStorage, sessionStorage, IndexedDB, or cookies) does not contain sensitive data, with the exception of session tokens.</t>
  </si>
  <si>
    <t>V15.1</t>
  </si>
  <si>
    <t>Secure Coding and Architecture Documentation</t>
  </si>
  <si>
    <t>V15.1.1</t>
  </si>
  <si>
    <t>Verify that application documentation defines risk based remediation time frames for 3rd party component versions with vulnerabilities and for updating libraries in general, to minimize the risk from these components.</t>
  </si>
  <si>
    <t>SR15</t>
  </si>
  <si>
    <t>V15.1.2</t>
  </si>
  <si>
    <t>Verify that an inventory catalog, such as software bill of materials (SBOM), is maintained of all third-party libraries in use, including verifying that components come from pre-defined, trusted, and continually maintained repositories.</t>
  </si>
  <si>
    <t>automatizado na pipeline em https://github.com/mei-desofs/desofs2026-wed_nap_5/blob/995dcd2dc1302bf10d99a6ace3df8a2503167ba2/.github/workflows/sca.yml</t>
  </si>
  <si>
    <t>https://github.com/mei-desofs/desofs2026-wed_nap_5/actions/runs/26042349904</t>
  </si>
  <si>
    <t>V15.1.3</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</si>
  <si>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</si>
  <si>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V15.1.4</t>
  </si>
  <si>
    <t>Verify that application documentation highlights third-party libraries which are considered to be "risky components".</t>
  </si>
  <si>
    <t>V15.1.5</t>
  </si>
  <si>
    <t>Verify that application documentation highlights parts of the application where "dangerous functionality" is being used.</t>
  </si>
  <si>
    <t>V15.2</t>
  </si>
  <si>
    <t>Security Architecture and Dependencies</t>
  </si>
  <si>
    <t>V15.2.1</t>
  </si>
  <si>
    <t>Verify that the application only contains components which have not breached the documented update and remediation time frames.</t>
  </si>
  <si>
    <t>V15.2.2</t>
  </si>
  <si>
    <t>Verify that the application has implemented defenses against loss of availability due to functionality which is time-consuming or resource-demanding, based on the documented security decisions and strategies for this.</t>
  </si>
  <si>
    <t>V15.2.3</t>
  </si>
  <si>
    <t>Verify that the production environment only includes functionality that is required for the application to function, and does not expose extraneous functionality such as test code, sample snippets, and development functionality.</t>
  </si>
  <si>
    <t>pode ser comproavado pelo pom. spring-boot-starter-test e spring-security-test</t>
  </si>
  <si>
    <t>https://github.com/mei-desofs/desofs2026-wed_nap_5/blob/main/pom.xml</t>
  </si>
  <si>
    <t>V15.2.4</t>
  </si>
  <si>
    <t>Verify that third-party components and all of their transitive dependencies are included from the expected repository, whether internally owned or an external source, and that there is no risk of a dependency confusion attack.</t>
  </si>
  <si>
    <t>projeto integra ativamente o plugin dependency-check-maven da OWASP, que analisa continuamente a árvore de dependências em busca de anomalias, vulnerabilidades conhecidas</t>
  </si>
  <si>
    <t>V15.2.5</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</si>
  <si>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</si>
  <si>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At the infrastructure level, the system uses containerization with Docker, which restricts the execution environment to an isolated sandbox.</t>
  </si>
  <si>
    <t>V15.3</t>
  </si>
  <si>
    <t>Defensive Coding</t>
  </si>
  <si>
    <t>V15.3.1</t>
  </si>
  <si>
    <t>Verify that the application only returns the required subset of fields from a data object. For example, it should not return an entire data object, as some individual fields should not be accessible to users.</t>
  </si>
  <si>
    <t>https://github.com/mei-desofs/desofs2026-wed_nap_5/tree/main/src/main/java/com/grupo/learningmore/dto/Response</t>
  </si>
  <si>
    <t>V15.3.2</t>
  </si>
  <si>
    <t>Verify that where the application backend makes calls to external URLs, it is configured to not follow redirects unless it is intended functionality.</t>
  </si>
  <si>
    <t>Backend only makes calls to localhosts connected via Docker</t>
  </si>
  <si>
    <t xml:space="preserve"> </t>
  </si>
  <si>
    <t>V15.3.3</t>
  </si>
  <si>
    <t>Verify that the application has countermeasures to protect against mass assignment attacks by limiting allowed fields per controller and action, e.g., it is not possible to insert or update a field value when it was not intended to be part of that action.</t>
  </si>
  <si>
    <t>https://github.com/mei-desofs/desofs2026-wed_nap_5/tree/main/src/main/java/com/grupo/learningmore/dto/Request</t>
  </si>
  <si>
    <t>V15.3.4</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</si>
  <si>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</si>
  <si>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server.forward-headers-strategy=framework</t>
  </si>
  <si>
    <t xml:space="preserve"> https://github.com/mei-desofs/desofs2026-wed_nap_5/blob/main/src/main/resources/application.properties</t>
  </si>
  <si>
    <t>V15.3.5</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</si>
  <si>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</si>
  <si>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V15.3.6</t>
  </si>
  <si>
    <t>Verify that JavaScript code is written in a way that prevents prototype pollution, for example, by using Set() or Map() instead of object literals.</t>
  </si>
  <si>
    <t>Backend made with JAVA</t>
  </si>
  <si>
    <t>V15.3.7</t>
  </si>
  <si>
    <t>Verify that the application has defenses against HTTP parameter pollution attacks, particularly if the application framework makes no distinction about the source of request parameters (query string, body parameters, cookies, or header fields).</t>
  </si>
  <si>
    <t>Uso de @RequestBody,@RequestParam e @PathVariable nos controllers</t>
  </si>
  <si>
    <t>https://github.com/mei-desofs/desofs2026-wed_nap_5/tree/main/src/main/java/com/grupo/learningmore/api</t>
  </si>
  <si>
    <t>V15.4</t>
  </si>
  <si>
    <t>Safe Concurrency</t>
  </si>
  <si>
    <t>V15.4.1</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</si>
  <si>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</si>
  <si>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The only class attributes are immutable (final) dependencies injected via the constructor. All data flow and manipulation of mutable information occurs exclusively through local variables and scoped parameters within the execution methods, which are natively isolated in the execution stack of each thread, mitigating the risks of race conditions or data corruption in a multi-threaded environment.</t>
  </si>
  <si>
    <t>https://github.com/mei-desofs/desofs2026-wed_nap_5/tree/main/src/main/java/com/grupo/learningmore/services</t>
  </si>
  <si>
    <t>V15.4.2</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</si>
  <si>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</si>
  <si>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V15.4.3</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</si>
  <si>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</si>
  <si>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V15.4.4</t>
  </si>
  <si>
    <t>Verify that resource allocation policies prevent thread starvation by ensuring fair access to resources, such as by leveraging thread pools, allowing lower-priority threads to proceed within a reasonable timeframe.</t>
  </si>
  <si>
    <t>V16.1</t>
  </si>
  <si>
    <t>Security Logging Documentation</t>
  </si>
  <si>
    <t>V16.1.1</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</si>
  <si>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</si>
  <si>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Logging requirements and events are defined, including authentication and critical system actions.</t>
  </si>
  <si>
    <t>FR23-27, SR16</t>
  </si>
  <si>
    <t>V16.2</t>
  </si>
  <si>
    <t>General Logging</t>
  </si>
  <si>
    <t>V16.2.1</t>
  </si>
  <si>
    <t>Verify that each log entry includes necessary metadata (such as when, where, who, what) that would allow for a detailed investigation of the timeline when an event happens.</t>
  </si>
  <si>
    <t>Logs include metadata such as timestamp, user identifier, and action details.</t>
  </si>
  <si>
    <t>FR25, FR26, FR27</t>
  </si>
  <si>
    <t>V16.2.2</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</si>
  <si>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</si>
  <si>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Timestamps are included in logs, although time synchronization details are not fully specified.</t>
  </si>
  <si>
    <t>FR25</t>
  </si>
  <si>
    <t>V16.2.3</t>
  </si>
  <si>
    <t>Verify that the application only stores or broadcasts logs to the files and services that are documented in the log inventory.</t>
  </si>
  <si>
    <t>V16.2.4</t>
  </si>
  <si>
    <t>Verify that logs can be read and correlated by the log processor that is in use, preferably by using a common logging format.</t>
  </si>
  <si>
    <t>Logs are structured to support monitoring and analysis of system activity.</t>
  </si>
  <si>
    <t>SR16</t>
  </si>
  <si>
    <t>V16.2.5</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</si>
  <si>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</si>
  <si>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Sensitive data is excluded from logs according to security requirements.</t>
  </si>
  <si>
    <t>SR17</t>
  </si>
  <si>
    <t>V16.3</t>
  </si>
  <si>
    <t>Security Events</t>
  </si>
  <si>
    <t>V16.3.1</t>
  </si>
  <si>
    <t>Verify that all authentication operations are logged, including successful and unsuccessful attempts. Additional metadata, such as the type of authentication or factors used, should also be collected.</t>
  </si>
  <si>
    <t>Authentication events, including login attempts, are logged.</t>
  </si>
  <si>
    <t>FR23, SR16</t>
  </si>
  <si>
    <t>V16.3.2</t>
  </si>
  <si>
    <t>Verify that failed authorization attempts are logged. For L3, this must include logging all authorization decisions, including logging when sensitive data is accessed (without logging the sensitive data itself).</t>
  </si>
  <si>
    <t>Authorization and access control failures are considered for logging.</t>
  </si>
  <si>
    <t>V16.3.3</t>
  </si>
  <si>
    <t>Verify that the application logs the security events that are defined in the documentation and also logs attempts to bypass the security controls, such as input validation, business logic, and anti-automation.</t>
  </si>
  <si>
    <t>Security-relevant events and suspicious actions are logged for monitoring.</t>
  </si>
  <si>
    <t>V16.3.4</t>
  </si>
  <si>
    <t>Verify that the application logs unexpected errors and security control failures such as backend TLS failures.</t>
  </si>
  <si>
    <t>System errors and failures are logged to support debugging and incident response.</t>
  </si>
  <si>
    <t>FR24, SR16</t>
  </si>
  <si>
    <t>V16.4</t>
  </si>
  <si>
    <t>Log Protection</t>
  </si>
  <si>
    <t>V16.4.1</t>
  </si>
  <si>
    <t>Verify that all logging components appropriately encode data to prevent log injection.</t>
  </si>
  <si>
    <t>Input validation reduces the risk of log injection attacks.</t>
  </si>
  <si>
    <t>V16.4.2</t>
  </si>
  <si>
    <t>Verify that logs are protected from unauthorized access and cannot be modified.</t>
  </si>
  <si>
    <t>Logs are expected to be protected from unauthorized access through system-level controls.</t>
  </si>
  <si>
    <t>V16.4.3</t>
  </si>
  <si>
    <t>Verify that logs are securely transmitted to a logically separate system for analysis, detection, alerting, and escalation. The aim is to ensure that if the application is breached, the logs are not compromised.</t>
  </si>
  <si>
    <t>V16.5</t>
  </si>
  <si>
    <t>Error Handling</t>
  </si>
  <si>
    <t>V16.5.1</t>
  </si>
  <si>
    <t>Verify that a generic message is returned to the consumer when an unexpected or security-sensitive error occurs, ensuring no exposure of sensitive internal system data such as stack traces, queries, secret keys, and tokens.</t>
  </si>
  <si>
    <t>Error handling mechanisms avoid exposing sensitive information to users.</t>
  </si>
  <si>
    <t>V16.5.2</t>
  </si>
  <si>
    <t>Verify that the application continues to operate securely when external resource access fails, for example, by using patterns such as circuit breakers or graceful degradation.</t>
  </si>
  <si>
    <t>V16.5.3</t>
  </si>
  <si>
    <t>Verify that the application fails gracefully and securely, including when an exception occurs, preventing fail-open conditions such as processing a transaction despite errors resulting from validation logic.</t>
  </si>
  <si>
    <t>The system is designed to handle failures without compromising security.</t>
  </si>
  <si>
    <t>NFR5</t>
  </si>
  <si>
    <t>V16.5.4</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</si>
  <si>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</si>
  <si>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V17.1</t>
  </si>
  <si>
    <t>TURN Server</t>
  </si>
  <si>
    <t>V17.1.1</t>
  </si>
  <si>
    <t>Verify that the Traversal Using Relays around NAT (TURN) service only allows access to IP addresses that are not reserved for special purposes (e.g., internal networks, broadcast, loopback). Note that this applies to both IPv4 and IPv6 addresses.</t>
  </si>
  <si>
    <t>V17.1.2</t>
  </si>
  <si>
    <t>Verify that the Traversal Using Relays around NAT (TURN) service is not susceptible to resource exhaustion when legitimate users attempt to open a large number of ports on the TURN server.</t>
  </si>
  <si>
    <t>V17.2</t>
  </si>
  <si>
    <t>Media</t>
  </si>
  <si>
    <t>V17.2.1</t>
  </si>
  <si>
    <t>Verify that the key for the Datagram Transport Layer Security (DTLS) certificate is managed and protected based on the documented policy for management of cryptographic keys.</t>
  </si>
  <si>
    <t>V17.2.2</t>
  </si>
  <si>
    <t>Verify that the media server is configured to use and support approved Datagram Transport Layer Security (DTLS) cipher suites and a secure protection profile for the DTLS Extension for establishing keys for the Secure Real-time Transport Protocol (DTLS-SRTP).</t>
  </si>
  <si>
    <t>V17.2.3</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</si>
  <si>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</si>
  <si>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V17.2.4</t>
  </si>
  <si>
    <t>Verify that the media server is able to continue processing incoming media traffic when encountering malformed Secure Real-time Transport Protocol (SRTP) packets.</t>
  </si>
  <si>
    <t>V17.2.5</t>
  </si>
  <si>
    <t>Verify that the media server is able to continue processing incoming media traffic during a flood of Secure Real-time Transport Protocol (SRTP) packets from legitimate users.</t>
  </si>
  <si>
    <t>V17.2.6</t>
  </si>
  <si>
    <t>Verify that the media server is not susceptible to the "ClientHello" Race Condition vulnerability in Datagram Transport Layer Security (DTLS) by checking if the media server is publicly known to be vulnerable or by performing the race condition test.</t>
  </si>
  <si>
    <t>V17.2.7</t>
  </si>
  <si>
    <t>Verify that any audio or video recording mechanisms associated with the media server are able to continue processing incoming media traffic during a flood of Secure Real-time Transport Protocol (SRTP) packets from legitimate users.</t>
  </si>
  <si>
    <t>V17.2.8</t>
  </si>
  <si>
    <t>Verify that the Datagram Transport Layer Security (DTLS) certificate is checked against the Session Description Protocol (SDP) fingerprint attribute, terminating the media stream if the check fails, to ensure the authenticity of the media stream.</t>
  </si>
  <si>
    <t>V17.3</t>
  </si>
  <si>
    <t>Signaling</t>
  </si>
  <si>
    <t>V17.3.1</t>
  </si>
  <si>
    <t>Verify that the signaling server is able to continue processing legitimate incoming signaling messages during a flood attack. This should be achieved by implementing rate limiting at the signaling level.</t>
  </si>
  <si>
    <t>V17.3.2</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</si>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</sst>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rgb="FF000000"/>
      <name val="Calibri"/>
      <family val="2"/>
      <charset val="1"/>
    </font>
    <font>
      <b/>
      <sz val="16"/>
      <color rgb="FFFFFFFF"/>
      <name val="Cambria"/>
      <charset val="1"/>
    </font>
    <font>
      <i/>
      <sz val="10"/>
      <color rgb="FF595959"/>
      <name val="Cambria"/>
      <charset val="1"/>
    </font>
    <font>
      <b/>
      <sz val="10"/>
      <name val="Cambria"/>
      <charset val="1"/>
    </font>
    <font>
      <b/>
      <sz val="9"/>
      <name val="Cambria"/>
      <charset val="1"/>
    </font>
    <font>
      <b/>
      <sz val="9"/>
      <color rgb="FFFFFFFF"/>
      <name val="Cambria"/>
      <charset val="1"/>
    </font>
    <font>
      <sz val="10"/>
      <name val="Cambria"/>
      <charset val="1"/>
    </font>
    <font>
      <b/>
      <sz val="11"/>
      <color rgb="FFFFFFFF"/>
      <name val="Cambria"/>
      <charset val="1"/>
    </font>
    <font>
      <b/>
      <sz val="10"/>
      <color rgb="FFFFFFFF"/>
      <name val="Cambria"/>
      <charset val="1"/>
    </font>
    <font>
      <b/>
      <sz val="10"/>
      <color rgb="FF1F3864"/>
      <name val="Cambria"/>
      <charset val="1"/>
    </font>
    <font>
      <sz val="8"/>
      <name val="Calibri"/>
      <family val="2"/>
      <charset val="1"/>
    </font>
    <font>
      <u/>
      <sz val="11"/>
      <color theme="10"/>
      <name val="Calibri"/>
      <family val="2"/>
      <charset val="1"/>
    </font>
    <font>
      <b/>
      <sz val="10"/>
      <color rgb="FF1F3864"/>
      <name val="Cambria"/>
    </font>
    <font>
      <sz val="11"/>
      <color rgb="FF000000"/>
      <name val="Consolas, Monaco, Menlo, Courie"/>
    </font>
  </fonts>
  <fills count="10">
    <fill>
      <patternFill patternType="none"/>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style="thin">
        <color rgb="FFBFBFBF"/>
      </top>
      <bottom style="thin">
        <color rgb="FFBFBFBF"/>
      </bottom>
      <diagonal/>
    </border>
    <border>
      <left/>
      <right style="thin">
        <color rgb="FFBFBFBF"/>
      </right>
      <top/>
      <bottom style="thin">
        <color rgb="FFBFBFBF"/>
      </bottom>
      <diagonal/>
    </border>
  </borders>
  <cellStyleXfs count="2">
    <xf numFmtId="0" fontId="0" fillId="0" borderId="0"/>
    <xf numFmtId="0" fontId="11" fillId="0" borderId="0" applyNumberFormat="0" applyFill="0" applyBorder="0" applyAlignment="0" applyProtection="0"/>
  </cellStyleXfs>
  <cellXfs count="40">
    <xf numFmtId="0" fontId="0" fillId="0" borderId="0" xfId="0"/>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center"/>
    </xf>
    <xf numFmtId="0" fontId="6" fillId="3" borderId="1" xfId="0" applyFont="1" applyFill="1" applyBorder="1" applyAlignment="1">
      <alignment horizontal="center" vertical="center"/>
    </xf>
    <xf numFmtId="9" fontId="6" fillId="3" borderId="1" xfId="0" applyNumberFormat="1" applyFont="1" applyFill="1" applyBorder="1" applyAlignment="1">
      <alignment horizontal="center" vertical="center"/>
    </xf>
    <xf numFmtId="0" fontId="6" fillId="4" borderId="1" xfId="0" applyFont="1" applyFill="1" applyBorder="1" applyAlignment="1">
      <alignment horizontal="left" vertical="center"/>
    </xf>
    <xf numFmtId="0" fontId="6" fillId="4" borderId="1" xfId="0" applyFont="1" applyFill="1" applyBorder="1" applyAlignment="1">
      <alignment horizontal="center" vertical="center"/>
    </xf>
    <xf numFmtId="9" fontId="6" fillId="4" borderId="1" xfId="0" applyNumberFormat="1" applyFont="1" applyFill="1" applyBorder="1" applyAlignment="1">
      <alignment horizontal="center" vertical="center"/>
    </xf>
    <xf numFmtId="0" fontId="7" fillId="2" borderId="1" xfId="0" applyFont="1" applyFill="1" applyBorder="1"/>
    <xf numFmtId="0" fontId="8" fillId="2" borderId="1" xfId="0" applyFont="1" applyFill="1" applyBorder="1" applyAlignment="1">
      <alignment horizontal="center" vertical="center"/>
    </xf>
    <xf numFmtId="9"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0" fontId="9" fillId="5" borderId="1" xfId="0" applyFont="1" applyFill="1" applyBorder="1" applyAlignment="1">
      <alignment horizontal="left" vertical="center"/>
    </xf>
    <xf numFmtId="0" fontId="0" fillId="3" borderId="1" xfId="0" applyFill="1" applyBorder="1"/>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3" fillId="6" borderId="1" xfId="0" applyFont="1" applyFill="1" applyBorder="1" applyAlignment="1">
      <alignment horizontal="center" vertical="top"/>
    </xf>
    <xf numFmtId="0" fontId="0" fillId="7" borderId="1" xfId="0" applyFill="1" applyBorder="1" applyAlignment="1">
      <alignment horizontal="center" vertical="top"/>
    </xf>
    <xf numFmtId="0" fontId="0" fillId="4" borderId="1" xfId="0" applyFill="1" applyBorder="1"/>
    <xf numFmtId="0" fontId="0" fillId="4" borderId="1" xfId="0" applyFill="1" applyBorder="1" applyAlignment="1">
      <alignment horizontal="center" vertical="top"/>
    </xf>
    <xf numFmtId="0" fontId="0" fillId="4" borderId="1" xfId="0" applyFill="1" applyBorder="1" applyAlignment="1">
      <alignment horizontal="left" vertical="top" wrapText="1"/>
    </xf>
    <xf numFmtId="0" fontId="3" fillId="8" borderId="1" xfId="0" applyFont="1" applyFill="1" applyBorder="1" applyAlignment="1">
      <alignment horizontal="center" vertical="top"/>
    </xf>
    <xf numFmtId="0" fontId="3" fillId="9" borderId="1" xfId="0" applyFont="1" applyFill="1" applyBorder="1" applyAlignment="1">
      <alignment horizontal="center" vertical="top"/>
    </xf>
    <xf numFmtId="0" fontId="11" fillId="3" borderId="1" xfId="1" applyFill="1" applyBorder="1" applyAlignment="1">
      <alignment horizontal="left" vertical="top" wrapText="1"/>
    </xf>
    <xf numFmtId="0" fontId="11" fillId="4" borderId="1" xfId="1" applyFill="1" applyBorder="1" applyAlignment="1">
      <alignment horizontal="left" vertical="top" wrapText="1"/>
    </xf>
    <xf numFmtId="0" fontId="0" fillId="3" borderId="1" xfId="0" applyFill="1" applyBorder="1" applyAlignment="1">
      <alignment wrapText="1"/>
    </xf>
    <xf numFmtId="0" fontId="0" fillId="4" borderId="1" xfId="0" applyFill="1" applyBorder="1" applyAlignment="1">
      <alignment wrapText="1"/>
    </xf>
    <xf numFmtId="0" fontId="0" fillId="3" borderId="2" xfId="0" applyFill="1" applyBorder="1" applyAlignment="1">
      <alignment wrapText="1"/>
    </xf>
    <xf numFmtId="0" fontId="0" fillId="4" borderId="2" xfId="0" applyFill="1" applyBorder="1" applyAlignment="1">
      <alignment wrapText="1"/>
    </xf>
    <xf numFmtId="0" fontId="0" fillId="3" borderId="3" xfId="0" applyFill="1" applyBorder="1" applyAlignment="1">
      <alignment wrapText="1"/>
    </xf>
    <xf numFmtId="0" fontId="0" fillId="4" borderId="4" xfId="0" applyFill="1" applyBorder="1" applyAlignment="1">
      <alignment wrapText="1"/>
    </xf>
    <xf numFmtId="0" fontId="0" fillId="3" borderId="4" xfId="0" applyFill="1" applyBorder="1" applyAlignment="1">
      <alignment wrapText="1"/>
    </xf>
    <xf numFmtId="0" fontId="12" fillId="5" borderId="2" xfId="0" applyFont="1" applyFill="1" applyBorder="1"/>
    <xf numFmtId="0" fontId="12" fillId="5" borderId="4" xfId="0" applyFont="1" applyFill="1" applyBorder="1"/>
    <xf numFmtId="0" fontId="12" fillId="5" borderId="1" xfId="0" applyFont="1" applyFill="1" applyBorder="1" applyAlignment="1">
      <alignment horizontal="left"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13" fillId="3" borderId="1" xfId="0" applyFont="1" applyFill="1" applyBorder="1" applyAlignment="1">
      <alignment horizontal="left" vertical="top" wrapText="1"/>
    </xf>
    <xf numFmtId="0" fontId="3" fillId="0" borderId="0" xfId="0" applyFont="1" applyAlignment="1"/>
  </cellXfs>
  <cellStyles count="2">
    <cellStyle name="Hiperligação"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c:style val="2"/>
  <c:chart>
    <c:autoTitleDeleted val="1"/>
    <c:plotArea>
      <c:layout/>
      <c:barChart>
        <c:barDir val="bar"/>
        <c:grouping val="clustered"/>
        <c:varyColors val="0"/>
        <c:ser>
          <c:idx val="0"/>
          <c:order val="0"/>
          <c:tx>
            <c:strRef>
              <c:f>Summary!$E$5</c:f>
              <c:strCache>
                <c:ptCount val="1"/>
                <c:pt idx="0">
                  <c:v>L1
%</c:v>
                </c:pt>
              </c:strCache>
            </c:strRef>
          </c:tx>
          <c:spPr>
            <a:solidFill>
              <a:srgbClr val="C6EFCE"/>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Summary!$E$6:$E$22</c:f>
              <c:numCache>
                <c:formatCode>0%</c:formatCode>
                <c:ptCount val="17"/>
                <c:pt idx="0">
                  <c:v>0.25</c:v>
                </c:pt>
                <c:pt idx="1">
                  <c:v>0</c:v>
                </c:pt>
                <c:pt idx="2">
                  <c:v>0</c:v>
                </c:pt>
                <c:pt idx="3">
                  <c:v>0</c:v>
                </c:pt>
                <c:pt idx="4">
                  <c:v>0.5</c:v>
                </c:pt>
                <c:pt idx="5">
                  <c:v>0</c:v>
                </c:pt>
                <c:pt idx="6">
                  <c:v>0.33333333333333331</c:v>
                </c:pt>
                <c:pt idx="7">
                  <c:v>0.75</c:v>
                </c:pt>
                <c:pt idx="8">
                  <c:v>1</c:v>
                </c:pt>
                <c:pt idx="9">
                  <c:v>0</c:v>
                </c:pt>
                <c:pt idx="10">
                  <c:v>0</c:v>
                </c:pt>
                <c:pt idx="11">
                  <c:v>0.33333333333333331</c:v>
                </c:pt>
                <c:pt idx="12">
                  <c:v>0</c:v>
                </c:pt>
                <c:pt idx="13">
                  <c:v>1</c:v>
                </c:pt>
                <c:pt idx="14">
                  <c:v>0.66666666666666663</c:v>
                </c:pt>
                <c:pt idx="15" formatCode="General">
                  <c:v>0</c:v>
                </c:pt>
                <c:pt idx="16" formatCode="General">
                  <c:v>0</c:v>
                </c:pt>
              </c:numCache>
            </c:numRef>
          </c:val>
          <c:extLst>
            <c:ext xmlns:c16="http://schemas.microsoft.com/office/drawing/2014/chart" uri="{C3380CC4-5D6E-409C-BE32-E72D297353CC}">
              <c16:uniqueId val="{00000000-F3BA-496B-B76B-BE146F53FE30}"/>
            </c:ext>
          </c:extLst>
        </c:ser>
        <c:ser>
          <c:idx val="1"/>
          <c:order val="1"/>
          <c:tx>
            <c:strRef>
              <c:f>Summary!$H$5</c:f>
              <c:strCache>
                <c:ptCount val="1"/>
                <c:pt idx="0">
                  <c:v>L2
%</c:v>
                </c:pt>
              </c:strCache>
            </c:strRef>
          </c:tx>
          <c:spPr>
            <a:solidFill>
              <a:srgbClr val="FFEB9C"/>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Summary!$H$6:$H$22</c:f>
              <c:numCache>
                <c:formatCode>0%</c:formatCode>
                <c:ptCount val="17"/>
                <c:pt idx="0">
                  <c:v>0.21052631578947367</c:v>
                </c:pt>
                <c:pt idx="1">
                  <c:v>0</c:v>
                </c:pt>
                <c:pt idx="2">
                  <c:v>0</c:v>
                </c:pt>
                <c:pt idx="3">
                  <c:v>0</c:v>
                </c:pt>
                <c:pt idx="4">
                  <c:v>0.2</c:v>
                </c:pt>
                <c:pt idx="5">
                  <c:v>0</c:v>
                </c:pt>
                <c:pt idx="6">
                  <c:v>0.25</c:v>
                </c:pt>
                <c:pt idx="7">
                  <c:v>0.33333333333333331</c:v>
                </c:pt>
                <c:pt idx="8">
                  <c:v>0.66666666666666663</c:v>
                </c:pt>
                <c:pt idx="9">
                  <c:v>0</c:v>
                </c:pt>
                <c:pt idx="10">
                  <c:v>0</c:v>
                </c:pt>
                <c:pt idx="11">
                  <c:v>0</c:v>
                </c:pt>
                <c:pt idx="12">
                  <c:v>0.33333333333333331</c:v>
                </c:pt>
                <c:pt idx="13">
                  <c:v>0.8571428571428571</c:v>
                </c:pt>
                <c:pt idx="14">
                  <c:v>0.6</c:v>
                </c:pt>
                <c:pt idx="15">
                  <c:v>0</c:v>
                </c:pt>
                <c:pt idx="16">
                  <c:v>0</c:v>
                </c:pt>
              </c:numCache>
            </c:numRef>
          </c:val>
          <c:extLst>
            <c:ext xmlns:c16="http://schemas.microsoft.com/office/drawing/2014/chart" uri="{C3380CC4-5D6E-409C-BE32-E72D297353CC}">
              <c16:uniqueId val="{00000001-F3BA-496B-B76B-BE146F53FE30}"/>
            </c:ext>
          </c:extLst>
        </c:ser>
        <c:ser>
          <c:idx val="2"/>
          <c:order val="2"/>
          <c:tx>
            <c:strRef>
              <c:f>Summary!$K$5</c:f>
              <c:strCache>
                <c:ptCount val="1"/>
                <c:pt idx="0">
                  <c:v>L3
%</c:v>
                </c:pt>
              </c:strCache>
            </c:strRef>
          </c:tx>
          <c:spPr>
            <a:solidFill>
              <a:srgbClr val="FABF8F"/>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Summary!$K$6:$K$21</c:f>
              <c:numCache>
                <c:formatCode>0%</c:formatCode>
                <c:ptCount val="16"/>
                <c:pt idx="0">
                  <c:v>0</c:v>
                </c:pt>
                <c:pt idx="1">
                  <c:v>0</c:v>
                </c:pt>
                <c:pt idx="2">
                  <c:v>0</c:v>
                </c:pt>
                <c:pt idx="3">
                  <c:v>0</c:v>
                </c:pt>
                <c:pt idx="4">
                  <c:v>0</c:v>
                </c:pt>
                <c:pt idx="5">
                  <c:v>0</c:v>
                </c:pt>
                <c:pt idx="6">
                  <c:v>0</c:v>
                </c:pt>
                <c:pt idx="7">
                  <c:v>0.16666666666666666</c:v>
                </c:pt>
                <c:pt idx="8" formatCode="General">
                  <c:v>0</c:v>
                </c:pt>
                <c:pt idx="9">
                  <c:v>0</c:v>
                </c:pt>
                <c:pt idx="10">
                  <c:v>0</c:v>
                </c:pt>
                <c:pt idx="11">
                  <c:v>0</c:v>
                </c:pt>
                <c:pt idx="12">
                  <c:v>0.25</c:v>
                </c:pt>
                <c:pt idx="13">
                  <c:v>0</c:v>
                </c:pt>
                <c:pt idx="14">
                  <c:v>0.375</c:v>
                </c:pt>
                <c:pt idx="15">
                  <c:v>0</c:v>
                </c:pt>
              </c:numCache>
            </c:numRef>
          </c:val>
          <c:extLst>
            <c:ext xmlns:c16="http://schemas.microsoft.com/office/drawing/2014/chart" uri="{C3380CC4-5D6E-409C-BE32-E72D297353CC}">
              <c16:uniqueId val="{00000002-F3BA-496B-B76B-BE146F53FE30}"/>
            </c:ext>
          </c:extLst>
        </c:ser>
        <c:ser>
          <c:idx val="3"/>
          <c:order val="3"/>
          <c:tx>
            <c:strRef>
              <c:f>Summary!$M$5</c:f>
              <c:strCache>
                <c:ptCount val="1"/>
                <c:pt idx="0">
                  <c:v>Overall
%</c:v>
                </c:pt>
              </c:strCache>
            </c:strRef>
          </c:tx>
          <c:spPr>
            <a:solidFill>
              <a:srgbClr val="579D1C"/>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Summary!$M$6:$M$22</c:f>
              <c:numCache>
                <c:formatCode>0%</c:formatCode>
                <c:ptCount val="17"/>
                <c:pt idx="0">
                  <c:v>0.2</c:v>
                </c:pt>
                <c:pt idx="1">
                  <c:v>0</c:v>
                </c:pt>
                <c:pt idx="2">
                  <c:v>0</c:v>
                </c:pt>
                <c:pt idx="3">
                  <c:v>0</c:v>
                </c:pt>
                <c:pt idx="4">
                  <c:v>0.23076923076923078</c:v>
                </c:pt>
                <c:pt idx="5">
                  <c:v>0</c:v>
                </c:pt>
                <c:pt idx="6">
                  <c:v>0.26315789473684209</c:v>
                </c:pt>
                <c:pt idx="7">
                  <c:v>0.38461538461538464</c:v>
                </c:pt>
                <c:pt idx="8">
                  <c:v>0.8571428571428571</c:v>
                </c:pt>
                <c:pt idx="9">
                  <c:v>0</c:v>
                </c:pt>
                <c:pt idx="10">
                  <c:v>0</c:v>
                </c:pt>
                <c:pt idx="11">
                  <c:v>8.3333333333333329E-2</c:v>
                </c:pt>
                <c:pt idx="12">
                  <c:v>0.2857142857142857</c:v>
                </c:pt>
                <c:pt idx="13">
                  <c:v>0.61538461538461542</c:v>
                </c:pt>
                <c:pt idx="14">
                  <c:v>0.52380952380952384</c:v>
                </c:pt>
                <c:pt idx="15">
                  <c:v>0</c:v>
                </c:pt>
                <c:pt idx="16">
                  <c:v>0</c:v>
                </c:pt>
              </c:numCache>
            </c:numRef>
          </c:val>
          <c:extLst>
            <c:ext xmlns:c16="http://schemas.microsoft.com/office/drawing/2014/chart" uri="{C3380CC4-5D6E-409C-BE32-E72D297353CC}">
              <c16:uniqueId val="{00000003-F3BA-496B-B76B-BE146F53FE30}"/>
            </c:ext>
          </c:extLst>
        </c:ser>
        <c:dLbls>
          <c:showLegendKey val="0"/>
          <c:showVal val="0"/>
          <c:showCatName val="0"/>
          <c:showSerName val="0"/>
          <c:showPercent val="0"/>
          <c:showBubbleSize val="0"/>
        </c:dLbls>
        <c:gapWidth val="100"/>
        <c:axId val="28005530"/>
        <c:axId val="73737639"/>
      </c:barChart>
      <c:catAx>
        <c:axId val="28005530"/>
        <c:scaling>
          <c:orientation val="minMax"/>
        </c:scaling>
        <c:delete val="0"/>
        <c:axPos val="l"/>
        <c:numFmt formatCode="General" sourceLinked="1"/>
        <c:majorTickMark val="out"/>
        <c:minorTickMark val="none"/>
        <c:tickLblPos val="nextTo"/>
        <c:spPr>
          <a:ln>
            <a:solidFill>
              <a:srgbClr val="B3B3B3"/>
            </a:solidFill>
          </a:ln>
        </c:spPr>
        <c:txPr>
          <a:bodyPr/>
          <a:lstStyle/>
          <a:p>
            <a:pPr>
              <a:defRPr sz="1000" b="0" strike="noStrike" spc="-1">
                <a:latin typeface="Arial"/>
              </a:defRPr>
            </a:pPr>
            <a:endParaRPr lang="pt-PT"/>
          </a:p>
        </c:txPr>
        <c:crossAx val="73737639"/>
        <c:crosses val="autoZero"/>
        <c:auto val="1"/>
        <c:lblAlgn val="ctr"/>
        <c:lblOffset val="100"/>
        <c:noMultiLvlLbl val="0"/>
      </c:catAx>
      <c:valAx>
        <c:axId val="73737639"/>
        <c:scaling>
          <c:orientation val="minMax"/>
        </c:scaling>
        <c:delete val="0"/>
        <c:axPos val="b"/>
        <c:majorGridlines>
          <c:spPr>
            <a:ln>
              <a:solidFill>
                <a:srgbClr val="B3B3B3"/>
              </a:solidFill>
            </a:ln>
          </c:spPr>
        </c:majorGridlines>
        <c:numFmt formatCode="0%" sourceLinked="0"/>
        <c:majorTickMark val="out"/>
        <c:minorTickMark val="none"/>
        <c:tickLblPos val="nextTo"/>
        <c:spPr>
          <a:ln>
            <a:solidFill>
              <a:srgbClr val="B3B3B3"/>
            </a:solidFill>
          </a:ln>
        </c:spPr>
        <c:txPr>
          <a:bodyPr/>
          <a:lstStyle/>
          <a:p>
            <a:pPr>
              <a:defRPr sz="1000" b="0" strike="noStrike" spc="-1">
                <a:latin typeface="Arial"/>
              </a:defRPr>
            </a:pPr>
            <a:endParaRPr lang="pt-PT"/>
          </a:p>
        </c:txPr>
        <c:crossAx val="28005530"/>
        <c:crosses val="autoZero"/>
        <c:crossBetween val="between"/>
      </c:valAx>
      <c:spPr>
        <a:noFill/>
        <a:ln>
          <a:solidFill>
            <a:srgbClr val="B3B3B3"/>
          </a:solidFill>
        </a:ln>
      </c:spPr>
    </c:plotArea>
    <c:legend>
      <c:legendPos val="r"/>
      <c:overlay val="0"/>
      <c:spPr>
        <a:noFill/>
        <a:ln>
          <a:noFill/>
        </a:ln>
      </c:spPr>
      <c:txPr>
        <a:bodyPr/>
        <a:lstStyle/>
        <a:p>
          <a:pPr>
            <a:defRPr sz="1000" b="0" strike="noStrike" spc="-1">
              <a:latin typeface="Arial"/>
            </a:defRPr>
          </a:pPr>
          <a:endParaRPr lang="pt-PT"/>
        </a:p>
      </c:txPr>
    </c:legend>
    <c:plotVisOnly val="1"/>
    <c:dispBlanksAs val="gap"/>
    <c:showDLblsOverMax val="1"/>
  </c:chart>
  <c:spPr>
    <a:solidFill>
      <a:srgbClr val="FFFFFF"/>
    </a:solidFill>
    <a:ln w="9360">
      <a:noFill/>
    </a:ln>
  </c:spPr>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38880</xdr:colOff>
      <xdr:row>24</xdr:row>
      <xdr:rowOff>10440</xdr:rowOff>
    </xdr:from>
    <xdr:to>
      <xdr:col>13</xdr:col>
      <xdr:colOff>270</xdr:colOff>
      <xdr:row>47</xdr:row>
      <xdr:rowOff>56880</xdr:rowOff>
    </xdr:to>
    <xdr:graphicFrame macro="">
      <xdr:nvGraphicFramePr>
        <xdr:cNvPr id="2" name="Gráfico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hyperlink" Target="https://github.com/mei-desofs/desofs2026-wed_nap_5/blob/main/src/main/java/com/grupo/learningmore/api/CourseController.java"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localhost:9393"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github.com/mei-desofs/desofs2026-wed_nap_5/blob/main/src/main/resources/application.properties" TargetMode="External"/></Relationships>
</file>

<file path=xl/worksheets/_rels/sheet15.xml.rels><?xml version="1.0" encoding="UTF-8" standalone="yes"?>
<Relationships xmlns="http://schemas.openxmlformats.org/package/2006/relationships"><Relationship Id="rId2" Type="http://schemas.openxmlformats.org/officeDocument/2006/relationships/hyperlink" Target="https://github.com/mei-desofs/desofs2026-wed_nap_5/blob/main/src/main/java/com/grupo/learningmore/security/SecurityConfig.java" TargetMode="External"/><Relationship Id="rId1" Type="http://schemas.openxmlformats.org/officeDocument/2006/relationships/hyperlink" Target="https://github.com/mei-desofs/desofs2026-wed_nap_5/blob/main/src/main/java/com/grupo/learningmore/security/SecurityConfig.java"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https://github.com/mei-desofs/desofs2026-wed_nap_5/tree/main/src/main/java/com/grupo/learningmore/services" TargetMode="External"/><Relationship Id="rId1" Type="http://schemas.openxmlformats.org/officeDocument/2006/relationships/hyperlink" Target="https://github.com/mei-desofs/desofs2026-wed_nap_5/tree/main/src/main/java/com/grupo/learningmore/dto/Respon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showGridLines="0" tabSelected="1" topLeftCell="A2" zoomScale="75" zoomScaleNormal="75" workbookViewId="0">
      <selection activeCell="D8" sqref="D8"/>
    </sheetView>
  </sheetViews>
  <sheetFormatPr defaultColWidth="8.5703125" defaultRowHeight="14.45"/>
  <cols>
    <col min="1" max="1" width="34" customWidth="1"/>
    <col min="2" max="13" width="11" customWidth="1"/>
  </cols>
  <sheetData>
    <row r="1" spans="1:16" ht="36" customHeight="1">
      <c r="A1" s="36" t="s">
        <v>0</v>
      </c>
      <c r="B1" s="36"/>
      <c r="C1" s="36"/>
      <c r="D1" s="36"/>
      <c r="E1" s="36"/>
      <c r="F1" s="36"/>
      <c r="G1" s="36"/>
      <c r="H1" s="36"/>
      <c r="I1" s="36"/>
      <c r="J1" s="36"/>
      <c r="K1" s="36"/>
      <c r="L1" s="36"/>
      <c r="M1" s="36"/>
      <c r="N1" s="36"/>
      <c r="O1" s="36"/>
      <c r="P1" s="36"/>
    </row>
    <row r="2" spans="1:16" ht="19.899999999999999" customHeight="1">
      <c r="A2" s="37"/>
      <c r="B2" s="37"/>
      <c r="C2" s="37"/>
      <c r="D2" s="37"/>
      <c r="E2" s="37"/>
      <c r="F2" s="37"/>
      <c r="G2" s="37"/>
      <c r="H2" s="37"/>
      <c r="I2" s="37"/>
      <c r="J2" s="37"/>
      <c r="K2" s="37"/>
      <c r="L2" s="37"/>
      <c r="M2" s="37"/>
      <c r="N2" s="37"/>
      <c r="O2" s="37"/>
      <c r="P2" s="37"/>
    </row>
    <row r="3" spans="1:16" ht="18" customHeight="1">
      <c r="A3" s="39"/>
      <c r="B3" s="39"/>
      <c r="C3" s="1"/>
      <c r="E3" s="1"/>
      <c r="G3" s="1"/>
      <c r="I3" s="1"/>
      <c r="K3" s="1"/>
      <c r="M3" s="1"/>
      <c r="O3" s="1"/>
    </row>
    <row r="5" spans="1:16" ht="31.9" customHeight="1">
      <c r="A5" s="2" t="s">
        <v>1</v>
      </c>
      <c r="B5" s="2" t="s">
        <v>2</v>
      </c>
      <c r="C5" s="2" t="s">
        <v>3</v>
      </c>
      <c r="D5" s="2" t="s">
        <v>4</v>
      </c>
      <c r="E5" s="2" t="s">
        <v>5</v>
      </c>
      <c r="F5" s="2" t="s">
        <v>6</v>
      </c>
      <c r="G5" s="2" t="s">
        <v>7</v>
      </c>
      <c r="H5" s="2" t="s">
        <v>8</v>
      </c>
      <c r="I5" s="2" t="s">
        <v>9</v>
      </c>
      <c r="J5" s="2" t="s">
        <v>10</v>
      </c>
      <c r="K5" s="2" t="s">
        <v>11</v>
      </c>
      <c r="L5" s="2" t="s">
        <v>12</v>
      </c>
      <c r="M5" s="2" t="s">
        <v>13</v>
      </c>
    </row>
    <row r="6" spans="1:16" ht="18" customHeight="1">
      <c r="A6" s="3" t="s">
        <v>14</v>
      </c>
      <c r="B6" s="4">
        <v>30</v>
      </c>
      <c r="C6" s="4">
        <v>8</v>
      </c>
      <c r="D6" s="4">
        <f>COUNTIFS('V1 - Encoding and Sanitization'!$F$2:$F$36,"Compliant",'V1 - Encoding and Sanitization'!$E$2:$E$36,1)</f>
        <v>2</v>
      </c>
      <c r="E6" s="5">
        <f t="shared" ref="E6:E20" si="0">IF(C6=0,"",D6/C6)</f>
        <v>0.25</v>
      </c>
      <c r="F6" s="4">
        <v>19</v>
      </c>
      <c r="G6" s="4">
        <f>COUNTIFS('V1 - Encoding and Sanitization'!$F$2:$F$36,"Compliant",'V1 - Encoding and Sanitization'!$E$2:$E$36,2)</f>
        <v>4</v>
      </c>
      <c r="H6" s="5">
        <f t="shared" ref="H6:H22" si="1">IF(F6=0,"",G6/F6)</f>
        <v>0.21052631578947367</v>
      </c>
      <c r="I6" s="4">
        <v>3</v>
      </c>
      <c r="J6" s="4">
        <f>COUNTIFS('V1 - Encoding and Sanitization'!$F$2:$F$36,"Compliant",'V1 - Encoding and Sanitization'!$E$2:$E$36,3)</f>
        <v>0</v>
      </c>
      <c r="K6" s="5">
        <f t="shared" ref="K6:K13" si="2">IF(I6=0,"",J6/I6)</f>
        <v>0</v>
      </c>
      <c r="L6" s="4">
        <f>COUNTIF('V1 - Encoding and Sanitization'!$F$2:$F$36,"Compliant")</f>
        <v>6</v>
      </c>
      <c r="M6" s="5">
        <f t="shared" ref="M6:M22" si="3">IF(B6=0,"",L6/B6)</f>
        <v>0.2</v>
      </c>
    </row>
    <row r="7" spans="1:16" ht="18" customHeight="1">
      <c r="A7" s="6" t="s">
        <v>15</v>
      </c>
      <c r="B7" s="7">
        <v>13</v>
      </c>
      <c r="C7" s="7">
        <v>4</v>
      </c>
      <c r="D7" s="7">
        <f>COUNTIFS('V2 - Validation and Business Lo'!$F$2:$F$18,"Compliant",'V2 - Validation and Business Lo'!$E$2:$E$18,1)</f>
        <v>0</v>
      </c>
      <c r="E7" s="8">
        <f t="shared" si="0"/>
        <v>0</v>
      </c>
      <c r="F7" s="7">
        <v>7</v>
      </c>
      <c r="G7" s="7">
        <f>COUNTIFS('V2 - Validation and Business Lo'!$F$2:$F$18,"Compliant",'V2 - Validation and Business Lo'!$E$2:$E$18,2)</f>
        <v>0</v>
      </c>
      <c r="H7" s="8">
        <f t="shared" si="1"/>
        <v>0</v>
      </c>
      <c r="I7" s="7">
        <v>2</v>
      </c>
      <c r="J7" s="7">
        <f>COUNTIFS('V2 - Validation and Business Lo'!$F$2:$F$18,"Compliant",'V2 - Validation and Business Lo'!$E$2:$E$18,3)</f>
        <v>0</v>
      </c>
      <c r="K7" s="8">
        <f t="shared" si="2"/>
        <v>0</v>
      </c>
      <c r="L7" s="7">
        <f>COUNTIF('V2 - Validation and Business Lo'!$F$2:$F$18,"Compliant")</f>
        <v>0</v>
      </c>
      <c r="M7" s="8">
        <f t="shared" si="3"/>
        <v>0</v>
      </c>
    </row>
    <row r="8" spans="1:16" ht="18" customHeight="1">
      <c r="A8" s="3" t="s">
        <v>16</v>
      </c>
      <c r="B8" s="4">
        <v>31</v>
      </c>
      <c r="C8" s="4">
        <v>8</v>
      </c>
      <c r="D8" s="4">
        <f>COUNTIFS('V3 - Web Frontend Security'!$F$2:$F$39,"Compliant",'V3 - Web Frontend Security'!$E$2:$E$39,1)</f>
        <v>0</v>
      </c>
      <c r="E8" s="5">
        <f t="shared" si="0"/>
        <v>0</v>
      </c>
      <c r="F8" s="4">
        <v>11</v>
      </c>
      <c r="G8" s="4">
        <f>COUNTIFS('V3 - Web Frontend Security'!$F$2:$F$39,"Compliant",'V3 - Web Frontend Security'!$E$2:$E$39,2)</f>
        <v>0</v>
      </c>
      <c r="H8" s="5">
        <f t="shared" si="1"/>
        <v>0</v>
      </c>
      <c r="I8" s="4">
        <v>12</v>
      </c>
      <c r="J8" s="4">
        <f>COUNTIFS('V3 - Web Frontend Security'!$F$2:$F$39,"Compliant",'V3 - Web Frontend Security'!$E$2:$E$39,3)</f>
        <v>0</v>
      </c>
      <c r="K8" s="5">
        <f t="shared" si="2"/>
        <v>0</v>
      </c>
      <c r="L8" s="4">
        <f>COUNTIF('V3 - Web Frontend Security'!$F$2:$F$39,"Compliant")</f>
        <v>0</v>
      </c>
      <c r="M8" s="5">
        <f t="shared" si="3"/>
        <v>0</v>
      </c>
    </row>
    <row r="9" spans="1:16" ht="18" customHeight="1">
      <c r="A9" s="6" t="s">
        <v>17</v>
      </c>
      <c r="B9" s="7">
        <v>16</v>
      </c>
      <c r="C9" s="7">
        <v>2</v>
      </c>
      <c r="D9" s="7">
        <f>COUNTIFS('V4 - API and Web Service'!$F$2:$F$21,"Compliant",'V4 - API and Web Service'!$E$2:$E$21,1)</f>
        <v>0</v>
      </c>
      <c r="E9" s="8">
        <f t="shared" si="0"/>
        <v>0</v>
      </c>
      <c r="F9" s="7">
        <v>8</v>
      </c>
      <c r="G9" s="7">
        <f>COUNTIFS('V4 - API and Web Service'!$F$2:$F$21,"Compliant",'V4 - API and Web Service'!$E$2:$E$21,2)</f>
        <v>0</v>
      </c>
      <c r="H9" s="8">
        <f t="shared" si="1"/>
        <v>0</v>
      </c>
      <c r="I9" s="7">
        <v>6</v>
      </c>
      <c r="J9" s="7">
        <f>COUNTIFS('V4 - API and Web Service'!$F$2:$F$21,"Compliant",'V4 - API and Web Service'!$E$2:$E$21,3)</f>
        <v>0</v>
      </c>
      <c r="K9" s="8">
        <f t="shared" si="2"/>
        <v>0</v>
      </c>
      <c r="L9" s="7">
        <f>COUNTIF('V4 - API and Web Service'!$F$2:$F$21,"Compliant")</f>
        <v>0</v>
      </c>
      <c r="M9" s="8">
        <f t="shared" si="3"/>
        <v>0</v>
      </c>
    </row>
    <row r="10" spans="1:16" ht="18" customHeight="1">
      <c r="A10" s="3" t="s">
        <v>18</v>
      </c>
      <c r="B10" s="4">
        <v>13</v>
      </c>
      <c r="C10" s="4">
        <v>4</v>
      </c>
      <c r="D10" s="4">
        <f>COUNTIFS('V5 - File Handling'!$F$2:$F$18,"Compliant",'V5 - File Handling'!$E$2:$E$18,1)</f>
        <v>2</v>
      </c>
      <c r="E10" s="5">
        <f t="shared" si="0"/>
        <v>0.5</v>
      </c>
      <c r="F10" s="4">
        <v>5</v>
      </c>
      <c r="G10" s="4">
        <f>COUNTIFS('V5 - File Handling'!$F$2:$F$18,"Compliant",'V5 - File Handling'!$E$2:$E$18,2)</f>
        <v>1</v>
      </c>
      <c r="H10" s="5">
        <f t="shared" si="1"/>
        <v>0.2</v>
      </c>
      <c r="I10" s="4">
        <v>4</v>
      </c>
      <c r="J10" s="4">
        <f>COUNTIFS('V5 - File Handling'!$F$2:$F$18,"Compliant",'V5 - File Handling'!$E$2:$E$18,3)</f>
        <v>0</v>
      </c>
      <c r="K10" s="5">
        <f t="shared" si="2"/>
        <v>0</v>
      </c>
      <c r="L10" s="4">
        <f>COUNTIF('V5 - File Handling'!$F$2:$F$18,"Compliant")</f>
        <v>3</v>
      </c>
      <c r="M10" s="5">
        <f t="shared" si="3"/>
        <v>0.23076923076923078</v>
      </c>
    </row>
    <row r="11" spans="1:16" ht="18" customHeight="1">
      <c r="A11" s="6" t="s">
        <v>19</v>
      </c>
      <c r="B11" s="7">
        <v>47</v>
      </c>
      <c r="C11" s="7">
        <v>13</v>
      </c>
      <c r="D11" s="7">
        <f>COUNTIFS('V6 - Authentication'!$F$2:$F$56,"Compliant",'V6 - Authentication'!$E$2:$E$56,1)</f>
        <v>0</v>
      </c>
      <c r="E11" s="8">
        <f t="shared" si="0"/>
        <v>0</v>
      </c>
      <c r="F11" s="7">
        <v>22</v>
      </c>
      <c r="G11" s="7">
        <f>COUNTIFS('V6 - Authentication'!$F$2:$F$56,"Compliant",'V6 - Authentication'!$E$2:$E$56,2)</f>
        <v>0</v>
      </c>
      <c r="H11" s="8">
        <f t="shared" si="1"/>
        <v>0</v>
      </c>
      <c r="I11" s="7">
        <v>12</v>
      </c>
      <c r="J11" s="7">
        <f>COUNTIFS('V6 - Authentication'!$F$2:$F$56,"Compliant",'V6 - Authentication'!$E$2:$E$56,3)</f>
        <v>0</v>
      </c>
      <c r="K11" s="8">
        <f t="shared" si="2"/>
        <v>0</v>
      </c>
      <c r="L11" s="7">
        <f>COUNTIF('V6 - Authentication'!$F$2:$F$56,"Compliant")</f>
        <v>0</v>
      </c>
      <c r="M11" s="8">
        <f t="shared" si="3"/>
        <v>0</v>
      </c>
    </row>
    <row r="12" spans="1:16" ht="18" customHeight="1">
      <c r="A12" s="3" t="s">
        <v>20</v>
      </c>
      <c r="B12" s="4">
        <v>19</v>
      </c>
      <c r="C12" s="4">
        <v>6</v>
      </c>
      <c r="D12" s="4">
        <f>COUNTIFS('V7 - Session Management'!$F$2:$F$26,"Compliant",'V7 - Session Management'!$E$2:$E$26,1)</f>
        <v>2</v>
      </c>
      <c r="E12" s="5">
        <f t="shared" si="0"/>
        <v>0.33333333333333331</v>
      </c>
      <c r="F12" s="4">
        <v>12</v>
      </c>
      <c r="G12" s="4">
        <f>COUNTIFS('V7 - Session Management'!$F$2:$F$26,"Compliant",'V7 - Session Management'!$E$2:$E$26,2)</f>
        <v>3</v>
      </c>
      <c r="H12" s="5">
        <f t="shared" si="1"/>
        <v>0.25</v>
      </c>
      <c r="I12" s="4">
        <v>1</v>
      </c>
      <c r="J12" s="4">
        <f>COUNTIFS('V7 - Session Management'!$F$2:$F$26,"Compliant",'V7 - Session Management'!$E$2:$E$26,3)</f>
        <v>0</v>
      </c>
      <c r="K12" s="5">
        <f t="shared" si="2"/>
        <v>0</v>
      </c>
      <c r="L12" s="4">
        <f>COUNTIF('V7 - Session Management'!$F$2:$F$26,"Compliant")</f>
        <v>5</v>
      </c>
      <c r="M12" s="5">
        <f t="shared" si="3"/>
        <v>0.26315789473684209</v>
      </c>
    </row>
    <row r="13" spans="1:16" ht="18" customHeight="1">
      <c r="A13" s="6" t="s">
        <v>21</v>
      </c>
      <c r="B13" s="7">
        <v>13</v>
      </c>
      <c r="C13" s="7">
        <v>4</v>
      </c>
      <c r="D13" s="7">
        <f>COUNTIFS('V8 - Authorization'!$F$2:$F$18,"Compliant",'V8 - Authorization'!$E$2:$E$18,1)</f>
        <v>3</v>
      </c>
      <c r="E13" s="8">
        <f t="shared" si="0"/>
        <v>0.75</v>
      </c>
      <c r="F13" s="7">
        <v>3</v>
      </c>
      <c r="G13" s="7">
        <f>COUNTIFS('V8 - Authorization'!$F$2:$F$18,"Compliant",'V8 - Authorization'!$E$2:$E$18,2)</f>
        <v>1</v>
      </c>
      <c r="H13" s="8">
        <f t="shared" si="1"/>
        <v>0.33333333333333331</v>
      </c>
      <c r="I13" s="7">
        <v>6</v>
      </c>
      <c r="J13" s="7">
        <f>COUNTIFS('V8 - Authorization'!$F$2:$F$18,"Compliant",'V8 - Authorization'!$E$2:$E$18,3)</f>
        <v>1</v>
      </c>
      <c r="K13" s="8">
        <f t="shared" si="2"/>
        <v>0.16666666666666666</v>
      </c>
      <c r="L13" s="7">
        <f>COUNTIF('V8 - Authorization'!$F$2:$F$18,"Compliant")</f>
        <v>5</v>
      </c>
      <c r="M13" s="8">
        <f t="shared" si="3"/>
        <v>0.38461538461538464</v>
      </c>
    </row>
    <row r="14" spans="1:16" ht="18" customHeight="1">
      <c r="A14" s="3" t="s">
        <v>22</v>
      </c>
      <c r="B14" s="4">
        <v>7</v>
      </c>
      <c r="C14" s="4">
        <v>4</v>
      </c>
      <c r="D14" s="4">
        <f>COUNTIFS('V9 - Self-contained Tokens'!$F$2:$F$10,"Compliant",'V9 - Self-contained Tokens'!$E$2:$E$10,1)</f>
        <v>4</v>
      </c>
      <c r="E14" s="5">
        <f t="shared" si="0"/>
        <v>1</v>
      </c>
      <c r="F14" s="4">
        <v>3</v>
      </c>
      <c r="G14" s="4">
        <f>COUNTIFS('V9 - Self-contained Tokens'!$F$2:$F$10,"Compliant",'V9 - Self-contained Tokens'!$E$2:$E$10,2)</f>
        <v>2</v>
      </c>
      <c r="H14" s="5">
        <f t="shared" si="1"/>
        <v>0.66666666666666663</v>
      </c>
      <c r="I14" s="4">
        <v>0</v>
      </c>
      <c r="J14" s="4" t="s">
        <v>23</v>
      </c>
      <c r="K14" s="4" t="s">
        <v>23</v>
      </c>
      <c r="L14" s="4">
        <f>COUNTIF('V9 - Self-contained Tokens'!$F$2:$F$10,"Compliant")</f>
        <v>6</v>
      </c>
      <c r="M14" s="5">
        <f t="shared" si="3"/>
        <v>0.8571428571428571</v>
      </c>
    </row>
    <row r="15" spans="1:16" ht="18" customHeight="1">
      <c r="A15" s="6" t="s">
        <v>24</v>
      </c>
      <c r="B15" s="7">
        <v>36</v>
      </c>
      <c r="C15" s="7">
        <v>5</v>
      </c>
      <c r="D15" s="7">
        <f>COUNTIFS('V10 - OAuth and OIDC'!$F$2:$F$44,"Compliant",'V10 - OAuth and OIDC'!$E$2:$E$44,1)</f>
        <v>0</v>
      </c>
      <c r="E15" s="8">
        <f t="shared" si="0"/>
        <v>0</v>
      </c>
      <c r="F15" s="7">
        <v>24</v>
      </c>
      <c r="G15" s="7">
        <f>COUNTIFS('V10 - OAuth and OIDC'!$F$2:$F$44,"Compliant",'V10 - OAuth and OIDC'!$E$2:$E$44,2)</f>
        <v>0</v>
      </c>
      <c r="H15" s="8">
        <f t="shared" si="1"/>
        <v>0</v>
      </c>
      <c r="I15" s="7">
        <v>7</v>
      </c>
      <c r="J15" s="7">
        <f>COUNTIFS('V10 - OAuth and OIDC'!$F$2:$F$44,"Compliant",'V10 - OAuth and OIDC'!$E$2:$E$44,3)</f>
        <v>0</v>
      </c>
      <c r="K15" s="8">
        <f t="shared" ref="K15:K22" si="4">IF(I15=0,"",J15/I15)</f>
        <v>0</v>
      </c>
      <c r="L15" s="7">
        <f>COUNTIF('V10 - OAuth and OIDC'!$F$2:$F$44,"Compliant")</f>
        <v>0</v>
      </c>
      <c r="M15" s="8">
        <f t="shared" si="3"/>
        <v>0</v>
      </c>
    </row>
    <row r="16" spans="1:16" ht="18" customHeight="1">
      <c r="A16" s="3" t="s">
        <v>25</v>
      </c>
      <c r="B16" s="4">
        <v>24</v>
      </c>
      <c r="C16" s="4">
        <v>3</v>
      </c>
      <c r="D16" s="4">
        <f>COUNTIFS('V11 - Cryptography'!$F$2:$F$32,"Compliant",'V11 - Cryptography'!$E$2:$E$32,1)</f>
        <v>0</v>
      </c>
      <c r="E16" s="5">
        <f t="shared" si="0"/>
        <v>0</v>
      </c>
      <c r="F16" s="4">
        <v>11</v>
      </c>
      <c r="G16" s="4">
        <f>COUNTIFS('V11 - Cryptography'!$F$2:$F$32,"Compliant",'V11 - Cryptography'!$E$2:$E$32,2)</f>
        <v>0</v>
      </c>
      <c r="H16" s="5">
        <f t="shared" si="1"/>
        <v>0</v>
      </c>
      <c r="I16" s="4">
        <v>10</v>
      </c>
      <c r="J16" s="4">
        <f>COUNTIFS('V11 - Cryptography'!$F$2:$F$32,"Compliant",'V11 - Cryptography'!$E$2:$E$32,3)</f>
        <v>0</v>
      </c>
      <c r="K16" s="5">
        <f t="shared" si="4"/>
        <v>0</v>
      </c>
      <c r="L16" s="4">
        <f>COUNTIF('V11 - Cryptography'!$F$2:$F$32,"Compliant")</f>
        <v>0</v>
      </c>
      <c r="M16" s="5">
        <f t="shared" si="3"/>
        <v>0</v>
      </c>
    </row>
    <row r="17" spans="1:13" ht="18" customHeight="1">
      <c r="A17" s="6" t="s">
        <v>26</v>
      </c>
      <c r="B17" s="7">
        <v>12</v>
      </c>
      <c r="C17" s="7">
        <v>3</v>
      </c>
      <c r="D17" s="7">
        <f>COUNTIFS('V12 - Secure Communication'!$F$2:$F$16,"Compliant",'V12 - Secure Communication'!$E$2:$E$16,1)</f>
        <v>1</v>
      </c>
      <c r="E17" s="8">
        <f t="shared" si="0"/>
        <v>0.33333333333333331</v>
      </c>
      <c r="F17" s="7">
        <v>6</v>
      </c>
      <c r="G17" s="7">
        <f>COUNTIFS('V12 - Secure Communication'!$F$2:$F$16,"Compliant",'V12 - Secure Communication'!$E$2:$E$16,2)</f>
        <v>0</v>
      </c>
      <c r="H17" s="8">
        <f t="shared" si="1"/>
        <v>0</v>
      </c>
      <c r="I17" s="7">
        <v>3</v>
      </c>
      <c r="J17" s="7">
        <f>COUNTIFS('V12 - Secure Communication'!$F$2:$F$16,"Compliant",'V12 - Secure Communication'!$E$2:$E$16,3)</f>
        <v>0</v>
      </c>
      <c r="K17" s="8">
        <f t="shared" si="4"/>
        <v>0</v>
      </c>
      <c r="L17" s="7">
        <f>COUNTIF('V12 - Secure Communication'!$F$2:$F$16,"Compliant")</f>
        <v>1</v>
      </c>
      <c r="M17" s="8">
        <f t="shared" si="3"/>
        <v>8.3333333333333329E-2</v>
      </c>
    </row>
    <row r="18" spans="1:13" ht="18" customHeight="1">
      <c r="A18" s="3" t="s">
        <v>27</v>
      </c>
      <c r="B18" s="4">
        <v>21</v>
      </c>
      <c r="C18" s="4">
        <v>1</v>
      </c>
      <c r="D18" s="4">
        <f>COUNTIFS('V13 - Configuration'!$F$2:$F$26,"Compliant",'V13 - Configuration'!$E$2:$E$26,1)</f>
        <v>0</v>
      </c>
      <c r="E18" s="5">
        <f t="shared" si="0"/>
        <v>0</v>
      </c>
      <c r="F18" s="4">
        <v>12</v>
      </c>
      <c r="G18" s="4">
        <f>COUNTIFS('V13 - Configuration'!$F$2:$F$26,"Compliant",'V13 - Configuration'!$E$2:$E$26,2)</f>
        <v>4</v>
      </c>
      <c r="H18" s="5">
        <f t="shared" si="1"/>
        <v>0.33333333333333331</v>
      </c>
      <c r="I18" s="4">
        <v>8</v>
      </c>
      <c r="J18" s="4">
        <f>COUNTIFS('V13 - Configuration'!$F$2:$F$26,"Compliant",'V13 - Configuration'!$E$2:$E$26,3)</f>
        <v>2</v>
      </c>
      <c r="K18" s="5">
        <f t="shared" si="4"/>
        <v>0.25</v>
      </c>
      <c r="L18" s="4">
        <f>COUNTIF('V13 - Configuration'!$F$2:$F$26,"Compliant")</f>
        <v>6</v>
      </c>
      <c r="M18" s="5">
        <f t="shared" si="3"/>
        <v>0.2857142857142857</v>
      </c>
    </row>
    <row r="19" spans="1:13" ht="18" customHeight="1">
      <c r="A19" s="6" t="s">
        <v>28</v>
      </c>
      <c r="B19" s="7">
        <v>13</v>
      </c>
      <c r="C19" s="7">
        <v>2</v>
      </c>
      <c r="D19" s="7">
        <f>COUNTIFS('V14 - Data Protection'!$F$2:$F$17,"Compliant",'V14 - Data Protection'!$E$2:$E$17,1)</f>
        <v>2</v>
      </c>
      <c r="E19" s="8">
        <f t="shared" si="0"/>
        <v>1</v>
      </c>
      <c r="F19" s="7">
        <v>7</v>
      </c>
      <c r="G19" s="7">
        <f>COUNTIFS('V14 - Data Protection'!$F$2:$F$17,"Compliant",'V14 - Data Protection'!$E$2:$E$17,2)</f>
        <v>6</v>
      </c>
      <c r="H19" s="8">
        <f t="shared" si="1"/>
        <v>0.8571428571428571</v>
      </c>
      <c r="I19" s="7">
        <v>4</v>
      </c>
      <c r="J19" s="7">
        <f>COUNTIFS('V14 - Data Protection'!$F$2:$F$17,"Compliant",'V14 - Data Protection'!$E$2:$E$17,3)</f>
        <v>0</v>
      </c>
      <c r="K19" s="8">
        <f t="shared" si="4"/>
        <v>0</v>
      </c>
      <c r="L19" s="7">
        <f>COUNTIF('V14 - Data Protection'!$F$2:$F$17,"Compliant")</f>
        <v>8</v>
      </c>
      <c r="M19" s="8">
        <f t="shared" si="3"/>
        <v>0.61538461538461542</v>
      </c>
    </row>
    <row r="20" spans="1:13" ht="18" customHeight="1">
      <c r="A20" s="3" t="s">
        <v>29</v>
      </c>
      <c r="B20" s="4">
        <v>21</v>
      </c>
      <c r="C20" s="4">
        <v>3</v>
      </c>
      <c r="D20" s="4">
        <f>COUNTIFS('V15 - Secure Coding and Archite'!$F$2:$F$26,"Compliant",'V15 - Secure Coding and Archite'!$E$2:$E$26,1)</f>
        <v>2</v>
      </c>
      <c r="E20" s="5">
        <f t="shared" si="0"/>
        <v>0.66666666666666663</v>
      </c>
      <c r="F20" s="4">
        <v>10</v>
      </c>
      <c r="G20" s="4">
        <f>COUNTIFS('V15 - Secure Coding and Archite'!$F$2:$F$26,"Compliant",'V15 - Secure Coding and Archite'!$E$2:$E$26,2)</f>
        <v>6</v>
      </c>
      <c r="H20" s="5">
        <f t="shared" si="1"/>
        <v>0.6</v>
      </c>
      <c r="I20" s="4">
        <v>8</v>
      </c>
      <c r="J20" s="4">
        <f>COUNTIFS('V15 - Secure Coding and Archite'!$F$2:$F$26,"Compliant",'V15 - Secure Coding and Archite'!$E$2:$E$26,3)</f>
        <v>3</v>
      </c>
      <c r="K20" s="5">
        <f t="shared" si="4"/>
        <v>0.375</v>
      </c>
      <c r="L20" s="4">
        <f>COUNTIF('V15 - Secure Coding and Archite'!$F$2:$F$26,"Compliant")</f>
        <v>11</v>
      </c>
      <c r="M20" s="5">
        <f t="shared" si="3"/>
        <v>0.52380952380952384</v>
      </c>
    </row>
    <row r="21" spans="1:13" ht="18" customHeight="1">
      <c r="A21" s="6" t="s">
        <v>30</v>
      </c>
      <c r="B21" s="7">
        <v>17</v>
      </c>
      <c r="C21" s="7">
        <v>0</v>
      </c>
      <c r="D21" s="7" t="s">
        <v>23</v>
      </c>
      <c r="E21" s="7" t="s">
        <v>23</v>
      </c>
      <c r="F21" s="7">
        <v>16</v>
      </c>
      <c r="G21" s="7">
        <f>COUNTIFS('V16 - Security Logging and Erro'!$F$2:$F$23,"Compliant",'V16 - Security Logging and Erro'!$E$2:$E$23,2)</f>
        <v>0</v>
      </c>
      <c r="H21" s="8">
        <f t="shared" si="1"/>
        <v>0</v>
      </c>
      <c r="I21" s="7">
        <v>1</v>
      </c>
      <c r="J21" s="7">
        <f>COUNTIFS('V16 - Security Logging and Erro'!$F$2:$F$23,"Compliant",'V16 - Security Logging and Erro'!$E$2:$E$23,3)</f>
        <v>0</v>
      </c>
      <c r="K21" s="8">
        <f t="shared" si="4"/>
        <v>0</v>
      </c>
      <c r="L21" s="7">
        <f>COUNTIF('V16 - Security Logging and Erro'!$F$2:$F$23,"Compliant")</f>
        <v>0</v>
      </c>
      <c r="M21" s="8">
        <f t="shared" si="3"/>
        <v>0</v>
      </c>
    </row>
    <row r="22" spans="1:13" ht="18" customHeight="1">
      <c r="A22" s="3" t="s">
        <v>31</v>
      </c>
      <c r="B22" s="4">
        <v>12</v>
      </c>
      <c r="C22" s="4">
        <v>0</v>
      </c>
      <c r="D22" s="4" t="s">
        <v>23</v>
      </c>
      <c r="E22" s="4" t="s">
        <v>23</v>
      </c>
      <c r="F22" s="4">
        <v>7</v>
      </c>
      <c r="G22" s="4">
        <f>COUNTIFS('V17 - WebRTC'!$F$2:$F$16,"Compliant",'V17 - WebRTC'!$E$2:$E$16,2)</f>
        <v>0</v>
      </c>
      <c r="H22" s="5">
        <f t="shared" si="1"/>
        <v>0</v>
      </c>
      <c r="I22" s="4">
        <v>5</v>
      </c>
      <c r="J22" s="4">
        <f>COUNTIFS('V17 - WebRTC'!$F$2:$F$16,"Compliant",'V17 - WebRTC'!$E$2:$E$16,3)</f>
        <v>0</v>
      </c>
      <c r="K22" s="5">
        <f t="shared" si="4"/>
        <v>0</v>
      </c>
      <c r="L22" s="4">
        <f>COUNTIF('V17 - WebRTC'!$F$2:$F$16,"Compliant")</f>
        <v>0</v>
      </c>
      <c r="M22" s="5">
        <f t="shared" si="3"/>
        <v>0</v>
      </c>
    </row>
    <row r="23" spans="1:13" ht="22.15" customHeight="1">
      <c r="A23" s="9" t="s">
        <v>32</v>
      </c>
      <c r="B23" s="10">
        <f>SUM(B6:B22)</f>
        <v>345</v>
      </c>
      <c r="C23" s="10">
        <f>SUM(C6:C22)</f>
        <v>70</v>
      </c>
      <c r="D23" s="10">
        <f>SUM(D6:D22)</f>
        <v>18</v>
      </c>
      <c r="E23" s="11">
        <f>IFERROR(AVERAGE(E6:E22),"")</f>
        <v>0.32222222222222219</v>
      </c>
      <c r="F23" s="10">
        <f>SUM(F6:F22)</f>
        <v>183</v>
      </c>
      <c r="G23" s="10">
        <f>SUM(G6:G22)</f>
        <v>27</v>
      </c>
      <c r="H23" s="11">
        <f>IFERROR(AVERAGE(H6:H22),"")</f>
        <v>0.203000147427392</v>
      </c>
      <c r="I23" s="10">
        <f>SUM(I6:I22)</f>
        <v>92</v>
      </c>
      <c r="J23" s="10">
        <f>SUM(J6:J22)</f>
        <v>6</v>
      </c>
      <c r="K23" s="11">
        <f>IFERROR(AVERAGE(K6:K22),"")</f>
        <v>4.9479166666666664E-2</v>
      </c>
      <c r="L23" s="10">
        <f>SUM(L6:L22)</f>
        <v>51</v>
      </c>
      <c r="M23" s="11">
        <f>IFERROR(AVERAGE(M6:M22),"")</f>
        <v>0.20258394855918074</v>
      </c>
    </row>
  </sheetData>
  <mergeCells count="3">
    <mergeCell ref="A1:P1"/>
    <mergeCell ref="A2:P2"/>
    <mergeCell ref="A3:B3"/>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5" right="0.75" top="1" bottom="1" header="0.51180555555555496" footer="0.51180555555555496"/>
  <pageSetup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zoomScale="75" zoomScaleNormal="75" workbookViewId="0">
      <pane ySplit="1" topLeftCell="A31" activePane="bottomLeft" state="frozen"/>
      <selection pane="bottomLeft" activeCell="D4" sqref="D4"/>
    </sheetView>
  </sheetViews>
  <sheetFormatPr defaultColWidth="8.5703125" defaultRowHeight="14.4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c r="A1" s="12" t="s">
        <v>33</v>
      </c>
      <c r="B1" s="12" t="s">
        <v>34</v>
      </c>
      <c r="C1" s="12" t="s">
        <v>35</v>
      </c>
      <c r="D1" s="12" t="s">
        <v>36</v>
      </c>
      <c r="E1" s="12" t="s">
        <v>37</v>
      </c>
      <c r="F1" s="12" t="s">
        <v>38</v>
      </c>
      <c r="G1" s="12" t="s">
        <v>39</v>
      </c>
      <c r="H1" s="12" t="s">
        <v>40</v>
      </c>
    </row>
    <row r="2" spans="1:8" ht="18" customHeight="1">
      <c r="A2" s="13" t="s">
        <v>41</v>
      </c>
      <c r="B2" s="13" t="s">
        <v>42</v>
      </c>
      <c r="C2" s="13"/>
      <c r="D2" s="13"/>
      <c r="E2" s="13"/>
      <c r="F2" s="13"/>
      <c r="G2" s="13"/>
      <c r="H2" s="13"/>
    </row>
    <row r="3" spans="1:8" ht="30" customHeight="1">
      <c r="A3" s="14" t="s">
        <v>41</v>
      </c>
      <c r="B3" s="14" t="s">
        <v>42</v>
      </c>
      <c r="C3" s="15" t="s">
        <v>43</v>
      </c>
      <c r="D3" s="16" t="s">
        <v>44</v>
      </c>
      <c r="E3" s="17">
        <v>2</v>
      </c>
      <c r="F3" s="18" t="s">
        <v>45</v>
      </c>
      <c r="G3" s="16"/>
      <c r="H3" s="16"/>
    </row>
    <row r="4" spans="1:8" ht="30" customHeight="1">
      <c r="A4" s="19" t="s">
        <v>41</v>
      </c>
      <c r="B4" s="19" t="s">
        <v>42</v>
      </c>
      <c r="C4" s="20" t="s">
        <v>46</v>
      </c>
      <c r="D4" s="21" t="s">
        <v>47</v>
      </c>
      <c r="E4" s="17">
        <v>2</v>
      </c>
      <c r="F4" s="18" t="s">
        <v>48</v>
      </c>
      <c r="G4" s="21" t="s">
        <v>49</v>
      </c>
      <c r="H4" s="21" t="s">
        <v>50</v>
      </c>
    </row>
    <row r="5" spans="1:8" ht="18" customHeight="1">
      <c r="A5" s="13" t="s">
        <v>51</v>
      </c>
      <c r="B5" s="13" t="s">
        <v>52</v>
      </c>
      <c r="C5" s="13"/>
      <c r="D5" s="13"/>
      <c r="E5" s="13"/>
      <c r="F5" s="13"/>
      <c r="G5" s="13"/>
      <c r="H5" s="13"/>
    </row>
    <row r="6" spans="1:8" ht="30" customHeight="1">
      <c r="A6" s="14" t="s">
        <v>51</v>
      </c>
      <c r="B6" s="14" t="s">
        <v>52</v>
      </c>
      <c r="C6" s="15" t="s">
        <v>53</v>
      </c>
      <c r="D6" s="16" t="s">
        <v>54</v>
      </c>
      <c r="E6" s="22">
        <v>1</v>
      </c>
      <c r="F6" s="18" t="s">
        <v>55</v>
      </c>
      <c r="G6" s="16" t="s">
        <v>56</v>
      </c>
      <c r="H6" s="16" t="s">
        <v>57</v>
      </c>
    </row>
    <row r="7" spans="1:8" ht="30" customHeight="1">
      <c r="A7" s="19" t="s">
        <v>51</v>
      </c>
      <c r="B7" s="19" t="s">
        <v>52</v>
      </c>
      <c r="C7" s="20" t="s">
        <v>58</v>
      </c>
      <c r="D7" s="21" t="s">
        <v>59</v>
      </c>
      <c r="E7" s="22">
        <v>1</v>
      </c>
      <c r="F7" s="18" t="s">
        <v>45</v>
      </c>
      <c r="G7" s="21"/>
      <c r="H7" s="21"/>
    </row>
    <row r="8" spans="1:8" ht="30" customHeight="1">
      <c r="A8" s="14" t="s">
        <v>51</v>
      </c>
      <c r="B8" s="14" t="s">
        <v>52</v>
      </c>
      <c r="C8" s="15" t="s">
        <v>60</v>
      </c>
      <c r="D8" s="16" t="s">
        <v>61</v>
      </c>
      <c r="E8" s="22">
        <v>1</v>
      </c>
      <c r="F8" s="18" t="s">
        <v>55</v>
      </c>
      <c r="G8" s="16" t="s">
        <v>62</v>
      </c>
      <c r="H8" s="16" t="s">
        <v>63</v>
      </c>
    </row>
    <row r="9" spans="1:8" ht="30" customHeight="1">
      <c r="A9" s="19" t="s">
        <v>51</v>
      </c>
      <c r="B9" s="19" t="s">
        <v>52</v>
      </c>
      <c r="C9" s="20" t="s">
        <v>64</v>
      </c>
      <c r="D9" s="21" t="s">
        <v>65</v>
      </c>
      <c r="E9" s="22">
        <v>1</v>
      </c>
      <c r="F9" s="18" t="s">
        <v>48</v>
      </c>
      <c r="G9" s="21" t="s">
        <v>66</v>
      </c>
      <c r="H9" s="21" t="s">
        <v>67</v>
      </c>
    </row>
    <row r="10" spans="1:8" ht="30" customHeight="1">
      <c r="A10" s="14" t="s">
        <v>51</v>
      </c>
      <c r="B10" s="14" t="s">
        <v>52</v>
      </c>
      <c r="C10" s="15" t="s">
        <v>68</v>
      </c>
      <c r="D10" s="16" t="s">
        <v>69</v>
      </c>
      <c r="E10" s="22">
        <v>1</v>
      </c>
      <c r="F10" s="18" t="s">
        <v>55</v>
      </c>
      <c r="G10" s="16" t="s">
        <v>70</v>
      </c>
      <c r="H10" s="16" t="s">
        <v>57</v>
      </c>
    </row>
    <row r="11" spans="1:8" ht="30" customHeight="1">
      <c r="A11" s="19" t="s">
        <v>51</v>
      </c>
      <c r="B11" s="19" t="s">
        <v>52</v>
      </c>
      <c r="C11" s="20" t="s">
        <v>71</v>
      </c>
      <c r="D11" s="21" t="s">
        <v>72</v>
      </c>
      <c r="E11" s="17">
        <v>2</v>
      </c>
      <c r="F11" s="18" t="s">
        <v>73</v>
      </c>
      <c r="G11" s="21" t="s">
        <v>74</v>
      </c>
      <c r="H11" s="21"/>
    </row>
    <row r="12" spans="1:8" ht="30" customHeight="1">
      <c r="A12" s="14" t="s">
        <v>51</v>
      </c>
      <c r="B12" s="14" t="s">
        <v>52</v>
      </c>
      <c r="C12" s="15" t="s">
        <v>75</v>
      </c>
      <c r="D12" s="16" t="s">
        <v>76</v>
      </c>
      <c r="E12" s="17">
        <v>2</v>
      </c>
      <c r="F12" s="18" t="s">
        <v>73</v>
      </c>
      <c r="G12" s="16" t="s">
        <v>77</v>
      </c>
      <c r="H12" s="16"/>
    </row>
    <row r="13" spans="1:8" ht="30" customHeight="1">
      <c r="A13" s="19" t="s">
        <v>51</v>
      </c>
      <c r="B13" s="19" t="s">
        <v>52</v>
      </c>
      <c r="C13" s="20" t="s">
        <v>78</v>
      </c>
      <c r="D13" s="21" t="s">
        <v>79</v>
      </c>
      <c r="E13" s="17">
        <v>2</v>
      </c>
      <c r="F13" s="18" t="s">
        <v>73</v>
      </c>
      <c r="G13" s="21" t="s">
        <v>80</v>
      </c>
      <c r="H13" s="21"/>
    </row>
    <row r="14" spans="1:8" ht="30" customHeight="1">
      <c r="A14" s="14" t="s">
        <v>51</v>
      </c>
      <c r="B14" s="14" t="s">
        <v>52</v>
      </c>
      <c r="C14" s="15" t="s">
        <v>81</v>
      </c>
      <c r="D14" s="16" t="s">
        <v>82</v>
      </c>
      <c r="E14" s="17">
        <v>2</v>
      </c>
      <c r="F14" s="18" t="s">
        <v>55</v>
      </c>
      <c r="G14" s="16" t="s">
        <v>83</v>
      </c>
      <c r="H14" s="16" t="s">
        <v>57</v>
      </c>
    </row>
    <row r="15" spans="1:8" ht="30" customHeight="1">
      <c r="A15" s="19" t="s">
        <v>51</v>
      </c>
      <c r="B15" s="19" t="s">
        <v>52</v>
      </c>
      <c r="C15" s="20" t="s">
        <v>84</v>
      </c>
      <c r="D15" s="21" t="s">
        <v>85</v>
      </c>
      <c r="E15" s="23">
        <v>3</v>
      </c>
      <c r="F15" s="18" t="s">
        <v>45</v>
      </c>
      <c r="G15" s="21" t="s">
        <v>86</v>
      </c>
      <c r="H15" s="21"/>
    </row>
    <row r="16" spans="1:8" ht="18" customHeight="1">
      <c r="A16" s="13" t="s">
        <v>87</v>
      </c>
      <c r="B16" s="13" t="s">
        <v>88</v>
      </c>
      <c r="C16" s="13"/>
      <c r="D16" s="13"/>
      <c r="E16" s="13"/>
      <c r="F16" s="13"/>
      <c r="G16" s="13"/>
      <c r="H16" s="13"/>
    </row>
    <row r="17" spans="1:8" ht="30" customHeight="1">
      <c r="A17" s="14" t="s">
        <v>87</v>
      </c>
      <c r="B17" s="14" t="s">
        <v>88</v>
      </c>
      <c r="C17" s="15" t="s">
        <v>89</v>
      </c>
      <c r="D17" s="16" t="s">
        <v>90</v>
      </c>
      <c r="E17" s="22">
        <v>1</v>
      </c>
      <c r="F17" s="18" t="s">
        <v>55</v>
      </c>
      <c r="G17" s="16" t="s">
        <v>91</v>
      </c>
      <c r="H17" s="16" t="s">
        <v>50</v>
      </c>
    </row>
    <row r="18" spans="1:8" ht="30" customHeight="1">
      <c r="A18" s="19" t="s">
        <v>87</v>
      </c>
      <c r="B18" s="19" t="s">
        <v>88</v>
      </c>
      <c r="C18" s="20" t="s">
        <v>92</v>
      </c>
      <c r="D18" s="21" t="s">
        <v>93</v>
      </c>
      <c r="E18" s="22">
        <v>1</v>
      </c>
      <c r="F18" s="18" t="s">
        <v>48</v>
      </c>
      <c r="G18" s="21" t="s">
        <v>94</v>
      </c>
      <c r="H18" s="21" t="s">
        <v>95</v>
      </c>
    </row>
    <row r="19" spans="1:8" ht="30" customHeight="1">
      <c r="A19" s="14" t="s">
        <v>87</v>
      </c>
      <c r="B19" s="14" t="s">
        <v>88</v>
      </c>
      <c r="C19" s="15" t="s">
        <v>96</v>
      </c>
      <c r="D19" s="16" t="s">
        <v>97</v>
      </c>
      <c r="E19" s="17">
        <v>2</v>
      </c>
      <c r="F19" s="18" t="s">
        <v>48</v>
      </c>
      <c r="G19" s="16" t="s">
        <v>98</v>
      </c>
      <c r="H19" s="38" t="s">
        <v>99</v>
      </c>
    </row>
    <row r="20" spans="1:8" ht="30" customHeight="1">
      <c r="A20" s="19" t="s">
        <v>87</v>
      </c>
      <c r="B20" s="19" t="s">
        <v>88</v>
      </c>
      <c r="C20" s="20" t="s">
        <v>100</v>
      </c>
      <c r="D20" s="21" t="s">
        <v>101</v>
      </c>
      <c r="E20" s="17">
        <v>2</v>
      </c>
      <c r="F20" s="18" t="s">
        <v>73</v>
      </c>
      <c r="G20" s="21" t="s">
        <v>102</v>
      </c>
      <c r="H20" s="21"/>
    </row>
    <row r="21" spans="1:8" ht="30" customHeight="1">
      <c r="A21" s="14" t="s">
        <v>87</v>
      </c>
      <c r="B21" s="14" t="s">
        <v>88</v>
      </c>
      <c r="C21" s="15" t="s">
        <v>103</v>
      </c>
      <c r="D21" s="16" t="s">
        <v>104</v>
      </c>
      <c r="E21" s="17">
        <v>2</v>
      </c>
      <c r="F21" s="18" t="s">
        <v>45</v>
      </c>
      <c r="G21" s="16"/>
      <c r="H21" s="16"/>
    </row>
    <row r="22" spans="1:8" ht="30" customHeight="1">
      <c r="A22" s="19" t="s">
        <v>87</v>
      </c>
      <c r="B22" s="19" t="s">
        <v>88</v>
      </c>
      <c r="C22" s="20" t="s">
        <v>105</v>
      </c>
      <c r="D22" s="21" t="s">
        <v>106</v>
      </c>
      <c r="E22" s="17">
        <v>2</v>
      </c>
      <c r="F22" s="18" t="s">
        <v>45</v>
      </c>
      <c r="G22" s="21"/>
      <c r="H22" s="21"/>
    </row>
    <row r="23" spans="1:8" ht="30" customHeight="1">
      <c r="A23" s="14" t="s">
        <v>87</v>
      </c>
      <c r="B23" s="14" t="s">
        <v>88</v>
      </c>
      <c r="C23" s="15" t="s">
        <v>107</v>
      </c>
      <c r="D23" s="16" t="s">
        <v>108</v>
      </c>
      <c r="E23" s="17">
        <v>2</v>
      </c>
      <c r="F23" s="18" t="s">
        <v>45</v>
      </c>
      <c r="G23" s="16"/>
      <c r="H23" s="16"/>
    </row>
    <row r="24" spans="1:8" ht="30" customHeight="1">
      <c r="A24" s="19" t="s">
        <v>87</v>
      </c>
      <c r="B24" s="19" t="s">
        <v>88</v>
      </c>
      <c r="C24" s="20" t="s">
        <v>109</v>
      </c>
      <c r="D24" s="21" t="s">
        <v>110</v>
      </c>
      <c r="E24" s="17">
        <v>2</v>
      </c>
      <c r="F24" s="18" t="s">
        <v>73</v>
      </c>
      <c r="G24" s="21" t="s">
        <v>111</v>
      </c>
      <c r="H24" s="21"/>
    </row>
    <row r="25" spans="1:8" ht="30" customHeight="1">
      <c r="A25" s="14" t="s">
        <v>87</v>
      </c>
      <c r="B25" s="14" t="s">
        <v>88</v>
      </c>
      <c r="C25" s="15" t="s">
        <v>112</v>
      </c>
      <c r="D25" s="16" t="s">
        <v>113</v>
      </c>
      <c r="E25" s="17">
        <v>2</v>
      </c>
      <c r="F25" s="18" t="s">
        <v>73</v>
      </c>
      <c r="G25" s="16" t="s">
        <v>114</v>
      </c>
      <c r="H25" s="16"/>
    </row>
    <row r="26" spans="1:8" ht="30" customHeight="1">
      <c r="A26" s="19" t="s">
        <v>87</v>
      </c>
      <c r="B26" s="19" t="s">
        <v>88</v>
      </c>
      <c r="C26" s="20" t="s">
        <v>115</v>
      </c>
      <c r="D26" s="21" t="s">
        <v>116</v>
      </c>
      <c r="E26" s="17">
        <v>2</v>
      </c>
      <c r="F26" s="18" t="s">
        <v>45</v>
      </c>
      <c r="G26" s="21"/>
      <c r="H26" s="21"/>
    </row>
    <row r="27" spans="1:8" ht="30" customHeight="1">
      <c r="A27" s="14" t="s">
        <v>87</v>
      </c>
      <c r="B27" s="14" t="s">
        <v>88</v>
      </c>
      <c r="C27" s="15" t="s">
        <v>117</v>
      </c>
      <c r="D27" s="16" t="s">
        <v>118</v>
      </c>
      <c r="E27" s="17">
        <v>2</v>
      </c>
      <c r="F27" s="18" t="s">
        <v>45</v>
      </c>
      <c r="G27" s="16" t="s">
        <v>119</v>
      </c>
      <c r="H27" s="16"/>
    </row>
    <row r="28" spans="1:8" ht="30" customHeight="1">
      <c r="A28" s="19" t="s">
        <v>87</v>
      </c>
      <c r="B28" s="19" t="s">
        <v>88</v>
      </c>
      <c r="C28" s="20" t="s">
        <v>120</v>
      </c>
      <c r="D28" s="21" t="s">
        <v>121</v>
      </c>
      <c r="E28" s="23">
        <v>3</v>
      </c>
      <c r="F28" s="18" t="s">
        <v>45</v>
      </c>
      <c r="G28" s="21" t="s">
        <v>122</v>
      </c>
      <c r="H28" s="21"/>
    </row>
    <row r="29" spans="1:8" ht="18" customHeight="1">
      <c r="A29" s="13" t="s">
        <v>123</v>
      </c>
      <c r="B29" s="13" t="s">
        <v>124</v>
      </c>
      <c r="C29" s="13"/>
      <c r="D29" s="13"/>
      <c r="E29" s="13"/>
      <c r="F29" s="13"/>
      <c r="G29" s="13"/>
      <c r="H29" s="13"/>
    </row>
    <row r="30" spans="1:8" ht="30" customHeight="1">
      <c r="A30" s="14" t="s">
        <v>123</v>
      </c>
      <c r="B30" s="14" t="s">
        <v>124</v>
      </c>
      <c r="C30" s="15" t="s">
        <v>125</v>
      </c>
      <c r="D30" s="16" t="s">
        <v>126</v>
      </c>
      <c r="E30" s="17">
        <v>2</v>
      </c>
      <c r="F30" s="18" t="s">
        <v>48</v>
      </c>
      <c r="G30" s="16" t="s">
        <v>127</v>
      </c>
      <c r="H30" s="16" t="s">
        <v>128</v>
      </c>
    </row>
    <row r="31" spans="1:8" ht="30" customHeight="1">
      <c r="A31" s="19" t="s">
        <v>123</v>
      </c>
      <c r="B31" s="19" t="s">
        <v>124</v>
      </c>
      <c r="C31" s="20" t="s">
        <v>129</v>
      </c>
      <c r="D31" s="21" t="s">
        <v>130</v>
      </c>
      <c r="E31" s="17">
        <v>2</v>
      </c>
      <c r="F31" s="18" t="s">
        <v>55</v>
      </c>
      <c r="G31" s="21" t="s">
        <v>131</v>
      </c>
      <c r="H31" s="21" t="s">
        <v>57</v>
      </c>
    </row>
    <row r="32" spans="1:8" ht="30" customHeight="1">
      <c r="A32" s="14" t="s">
        <v>123</v>
      </c>
      <c r="B32" s="14" t="s">
        <v>124</v>
      </c>
      <c r="C32" s="15" t="s">
        <v>132</v>
      </c>
      <c r="D32" s="16" t="s">
        <v>133</v>
      </c>
      <c r="E32" s="17">
        <v>2</v>
      </c>
      <c r="F32" s="18" t="s">
        <v>48</v>
      </c>
      <c r="G32" s="16" t="s">
        <v>134</v>
      </c>
      <c r="H32" s="16" t="s">
        <v>135</v>
      </c>
    </row>
    <row r="33" spans="1:8" ht="18" customHeight="1">
      <c r="A33" s="13" t="s">
        <v>136</v>
      </c>
      <c r="B33" s="13" t="s">
        <v>137</v>
      </c>
      <c r="C33" s="13"/>
      <c r="D33" s="13"/>
      <c r="E33" s="13"/>
      <c r="F33" s="13"/>
      <c r="G33" s="13"/>
      <c r="H33" s="13"/>
    </row>
    <row r="34" spans="1:8" ht="30" customHeight="1">
      <c r="A34" s="14" t="s">
        <v>136</v>
      </c>
      <c r="B34" s="14" t="s">
        <v>137</v>
      </c>
      <c r="C34" s="15" t="s">
        <v>138</v>
      </c>
      <c r="D34" s="16" t="s">
        <v>139</v>
      </c>
      <c r="E34" s="22">
        <v>1</v>
      </c>
      <c r="F34" s="18" t="s">
        <v>73</v>
      </c>
      <c r="G34" s="16" t="s">
        <v>140</v>
      </c>
      <c r="H34" s="16" t="s">
        <v>141</v>
      </c>
    </row>
    <row r="35" spans="1:8" ht="30" customHeight="1">
      <c r="A35" s="19" t="s">
        <v>136</v>
      </c>
      <c r="B35" s="19" t="s">
        <v>137</v>
      </c>
      <c r="C35" s="20" t="s">
        <v>142</v>
      </c>
      <c r="D35" s="21" t="s">
        <v>143</v>
      </c>
      <c r="E35" s="17">
        <v>2</v>
      </c>
      <c r="F35" s="18" t="s">
        <v>55</v>
      </c>
      <c r="G35" s="21" t="s">
        <v>144</v>
      </c>
      <c r="H35" s="21"/>
    </row>
    <row r="36" spans="1:8" ht="30" customHeight="1">
      <c r="A36" s="14" t="s">
        <v>136</v>
      </c>
      <c r="B36" s="14" t="s">
        <v>137</v>
      </c>
      <c r="C36" s="15" t="s">
        <v>145</v>
      </c>
      <c r="D36" s="16" t="s">
        <v>146</v>
      </c>
      <c r="E36" s="23">
        <v>3</v>
      </c>
      <c r="F36" s="18" t="s">
        <v>45</v>
      </c>
      <c r="G36" s="16" t="s">
        <v>147</v>
      </c>
      <c r="H36" s="16"/>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6" xr:uid="{00000000-0002-0000-0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zoomScale="75" zoomScaleNormal="75" workbookViewId="0">
      <pane ySplit="1" topLeftCell="A2" activePane="bottomLeft" state="frozen"/>
      <selection pane="bottomLeft" activeCell="D7" sqref="D7"/>
    </sheetView>
  </sheetViews>
  <sheetFormatPr defaultColWidth="8.5703125" defaultRowHeight="14.4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c r="A1" s="12" t="s">
        <v>33</v>
      </c>
      <c r="B1" s="12" t="s">
        <v>34</v>
      </c>
      <c r="C1" s="12" t="s">
        <v>35</v>
      </c>
      <c r="D1" s="12" t="s">
        <v>36</v>
      </c>
      <c r="E1" s="12" t="s">
        <v>37</v>
      </c>
      <c r="F1" s="12" t="s">
        <v>38</v>
      </c>
      <c r="G1" s="12" t="s">
        <v>39</v>
      </c>
      <c r="H1" s="12" t="s">
        <v>40</v>
      </c>
    </row>
    <row r="2" spans="1:8" ht="18" customHeight="1">
      <c r="A2" s="13" t="s">
        <v>148</v>
      </c>
      <c r="B2" s="13" t="s">
        <v>149</v>
      </c>
      <c r="C2" s="13"/>
      <c r="D2" s="13"/>
      <c r="E2" s="13"/>
      <c r="F2" s="13"/>
      <c r="G2" s="13"/>
      <c r="H2" s="13"/>
    </row>
    <row r="3" spans="1:8" ht="30" customHeight="1">
      <c r="A3" s="14" t="s">
        <v>148</v>
      </c>
      <c r="B3" s="14" t="s">
        <v>149</v>
      </c>
      <c r="C3" s="15" t="s">
        <v>150</v>
      </c>
      <c r="D3" s="16" t="s">
        <v>151</v>
      </c>
      <c r="E3" s="22">
        <v>1</v>
      </c>
      <c r="F3" s="18" t="s">
        <v>55</v>
      </c>
      <c r="G3" s="26" t="s">
        <v>152</v>
      </c>
      <c r="H3" s="30" t="s">
        <v>153</v>
      </c>
    </row>
    <row r="4" spans="1:8" ht="30" customHeight="1">
      <c r="A4" s="19" t="s">
        <v>148</v>
      </c>
      <c r="B4" s="19" t="s">
        <v>149</v>
      </c>
      <c r="C4" s="20" t="s">
        <v>154</v>
      </c>
      <c r="D4" s="21" t="s">
        <v>155</v>
      </c>
      <c r="E4" s="17">
        <v>2</v>
      </c>
      <c r="F4" s="18" t="s">
        <v>55</v>
      </c>
      <c r="G4" s="29" t="s">
        <v>156</v>
      </c>
      <c r="H4" s="31" t="s">
        <v>157</v>
      </c>
    </row>
    <row r="5" spans="1:8" ht="30" customHeight="1">
      <c r="A5" s="14" t="s">
        <v>148</v>
      </c>
      <c r="B5" s="14" t="s">
        <v>149</v>
      </c>
      <c r="C5" s="15" t="s">
        <v>158</v>
      </c>
      <c r="D5" s="16" t="s">
        <v>159</v>
      </c>
      <c r="E5" s="17">
        <v>2</v>
      </c>
      <c r="F5" s="18" t="s">
        <v>55</v>
      </c>
      <c r="G5" s="28" t="s">
        <v>160</v>
      </c>
      <c r="H5" s="32" t="s">
        <v>161</v>
      </c>
    </row>
    <row r="6" spans="1:8" ht="18" customHeight="1">
      <c r="A6" s="13" t="s">
        <v>162</v>
      </c>
      <c r="B6" s="13" t="s">
        <v>163</v>
      </c>
      <c r="C6" s="13"/>
      <c r="D6" s="13"/>
      <c r="E6" s="13"/>
      <c r="F6" s="13"/>
      <c r="G6" s="33" t="s">
        <v>164</v>
      </c>
      <c r="H6" s="34" t="s">
        <v>164</v>
      </c>
    </row>
    <row r="7" spans="1:8" ht="30" customHeight="1">
      <c r="A7" s="14" t="s">
        <v>162</v>
      </c>
      <c r="B7" s="14" t="s">
        <v>163</v>
      </c>
      <c r="C7" s="15" t="s">
        <v>165</v>
      </c>
      <c r="D7" s="16" t="s">
        <v>166</v>
      </c>
      <c r="E7" s="22">
        <v>1</v>
      </c>
      <c r="F7" s="18" t="s">
        <v>55</v>
      </c>
      <c r="G7" s="28" t="s">
        <v>167</v>
      </c>
      <c r="H7" s="32" t="s">
        <v>57</v>
      </c>
    </row>
    <row r="8" spans="1:8" ht="30" customHeight="1">
      <c r="A8" s="19" t="s">
        <v>162</v>
      </c>
      <c r="B8" s="19" t="s">
        <v>163</v>
      </c>
      <c r="C8" s="20" t="s">
        <v>168</v>
      </c>
      <c r="D8" s="21" t="s">
        <v>169</v>
      </c>
      <c r="E8" s="22">
        <v>1</v>
      </c>
      <c r="F8" s="18" t="s">
        <v>55</v>
      </c>
      <c r="G8" s="29" t="s">
        <v>170</v>
      </c>
      <c r="H8" s="31" t="s">
        <v>171</v>
      </c>
    </row>
    <row r="9" spans="1:8" ht="30" customHeight="1">
      <c r="A9" s="14" t="s">
        <v>162</v>
      </c>
      <c r="B9" s="14" t="s">
        <v>163</v>
      </c>
      <c r="C9" s="15" t="s">
        <v>172</v>
      </c>
      <c r="D9" s="16" t="s">
        <v>173</v>
      </c>
      <c r="E9" s="17">
        <v>2</v>
      </c>
      <c r="F9" s="18" t="s">
        <v>55</v>
      </c>
      <c r="G9" s="28" t="s">
        <v>174</v>
      </c>
      <c r="H9" s="32" t="s">
        <v>175</v>
      </c>
    </row>
    <row r="10" spans="1:8" ht="18" customHeight="1">
      <c r="A10" s="13" t="s">
        <v>176</v>
      </c>
      <c r="B10" s="13" t="s">
        <v>177</v>
      </c>
      <c r="C10" s="13"/>
      <c r="D10" s="13"/>
      <c r="E10" s="13"/>
      <c r="F10" s="13"/>
      <c r="G10" s="33" t="s">
        <v>164</v>
      </c>
      <c r="H10" s="34" t="s">
        <v>164</v>
      </c>
    </row>
    <row r="11" spans="1:8" ht="30" customHeight="1">
      <c r="A11" s="14" t="s">
        <v>176</v>
      </c>
      <c r="B11" s="14" t="s">
        <v>177</v>
      </c>
      <c r="C11" s="15" t="s">
        <v>178</v>
      </c>
      <c r="D11" s="16" t="s">
        <v>179</v>
      </c>
      <c r="E11" s="22">
        <v>1</v>
      </c>
      <c r="F11" s="18" t="s">
        <v>55</v>
      </c>
      <c r="G11" s="28" t="s">
        <v>180</v>
      </c>
      <c r="H11" s="32" t="s">
        <v>181</v>
      </c>
    </row>
    <row r="12" spans="1:8" ht="30" customHeight="1">
      <c r="A12" s="19" t="s">
        <v>176</v>
      </c>
      <c r="B12" s="19" t="s">
        <v>177</v>
      </c>
      <c r="C12" s="20" t="s">
        <v>182</v>
      </c>
      <c r="D12" s="21" t="s">
        <v>183</v>
      </c>
      <c r="E12" s="17">
        <v>2</v>
      </c>
      <c r="F12" s="18" t="s">
        <v>55</v>
      </c>
      <c r="G12" s="29" t="s">
        <v>184</v>
      </c>
      <c r="H12" s="31" t="s">
        <v>185</v>
      </c>
    </row>
    <row r="13" spans="1:8" ht="30" customHeight="1">
      <c r="A13" s="14" t="s">
        <v>176</v>
      </c>
      <c r="B13" s="14" t="s">
        <v>177</v>
      </c>
      <c r="C13" s="15" t="s">
        <v>186</v>
      </c>
      <c r="D13" s="16" t="s">
        <v>187</v>
      </c>
      <c r="E13" s="17">
        <v>2</v>
      </c>
      <c r="F13" s="18" t="s">
        <v>45</v>
      </c>
      <c r="G13" s="28" t="s">
        <v>188</v>
      </c>
      <c r="H13" s="32" t="s">
        <v>189</v>
      </c>
    </row>
    <row r="14" spans="1:8" ht="30" customHeight="1">
      <c r="A14" s="19" t="s">
        <v>176</v>
      </c>
      <c r="B14" s="19" t="s">
        <v>177</v>
      </c>
      <c r="C14" s="20" t="s">
        <v>190</v>
      </c>
      <c r="D14" s="21" t="s">
        <v>191</v>
      </c>
      <c r="E14" s="17">
        <v>2</v>
      </c>
      <c r="F14" s="18" t="s">
        <v>45</v>
      </c>
      <c r="G14" s="29" t="s">
        <v>192</v>
      </c>
      <c r="H14" s="31" t="s">
        <v>164</v>
      </c>
    </row>
    <row r="15" spans="1:8" ht="30" customHeight="1">
      <c r="A15" s="14" t="s">
        <v>176</v>
      </c>
      <c r="B15" s="14" t="s">
        <v>177</v>
      </c>
      <c r="C15" s="15" t="s">
        <v>193</v>
      </c>
      <c r="D15" s="16" t="s">
        <v>194</v>
      </c>
      <c r="E15" s="23">
        <v>3</v>
      </c>
      <c r="F15" s="18" t="s">
        <v>45</v>
      </c>
      <c r="G15" s="28" t="s">
        <v>195</v>
      </c>
      <c r="H15" s="32" t="s">
        <v>196</v>
      </c>
    </row>
    <row r="16" spans="1:8" ht="18" customHeight="1">
      <c r="A16" s="13" t="s">
        <v>197</v>
      </c>
      <c r="B16" s="13" t="s">
        <v>198</v>
      </c>
      <c r="C16" s="13"/>
      <c r="D16" s="13"/>
      <c r="E16" s="13"/>
      <c r="F16" s="13"/>
      <c r="G16" s="33" t="s">
        <v>164</v>
      </c>
      <c r="H16" s="34" t="s">
        <v>164</v>
      </c>
    </row>
    <row r="17" spans="1:8" ht="30" customHeight="1">
      <c r="A17" s="14" t="s">
        <v>197</v>
      </c>
      <c r="B17" s="14" t="s">
        <v>198</v>
      </c>
      <c r="C17" s="15" t="s">
        <v>199</v>
      </c>
      <c r="D17" s="16" t="s">
        <v>200</v>
      </c>
      <c r="E17" s="17">
        <v>2</v>
      </c>
      <c r="F17" s="18" t="s">
        <v>45</v>
      </c>
      <c r="G17" s="28" t="s">
        <v>201</v>
      </c>
      <c r="H17" s="32" t="s">
        <v>202</v>
      </c>
    </row>
    <row r="18" spans="1:8" ht="30" customHeight="1">
      <c r="A18" s="19" t="s">
        <v>197</v>
      </c>
      <c r="B18" s="19" t="s">
        <v>198</v>
      </c>
      <c r="C18" s="20" t="s">
        <v>203</v>
      </c>
      <c r="D18" s="21" t="s">
        <v>204</v>
      </c>
      <c r="E18" s="23">
        <v>3</v>
      </c>
      <c r="F18" s="18" t="s">
        <v>45</v>
      </c>
      <c r="G18" s="29" t="s">
        <v>205</v>
      </c>
      <c r="H18" s="31" t="s">
        <v>164</v>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2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zoomScale="75" zoomScaleNormal="75" workbookViewId="0">
      <pane ySplit="1" topLeftCell="A34" activePane="bottomLeft" state="frozen"/>
      <selection pane="bottomLeft" activeCell="D3" sqref="D3"/>
    </sheetView>
  </sheetViews>
  <sheetFormatPr defaultColWidth="8.5703125" defaultRowHeight="14.4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c r="A1" s="12" t="s">
        <v>33</v>
      </c>
      <c r="B1" s="12" t="s">
        <v>34</v>
      </c>
      <c r="C1" s="12" t="s">
        <v>35</v>
      </c>
      <c r="D1" s="12" t="s">
        <v>36</v>
      </c>
      <c r="E1" s="12" t="s">
        <v>37</v>
      </c>
      <c r="F1" s="12" t="s">
        <v>38</v>
      </c>
      <c r="G1" s="12" t="s">
        <v>39</v>
      </c>
      <c r="H1" s="12" t="s">
        <v>40</v>
      </c>
    </row>
    <row r="2" spans="1:8" ht="18" customHeight="1">
      <c r="A2" s="13" t="s">
        <v>206</v>
      </c>
      <c r="B2" s="13" t="s">
        <v>207</v>
      </c>
      <c r="C2" s="13"/>
      <c r="D2" s="13"/>
      <c r="E2" s="13"/>
      <c r="F2" s="13"/>
      <c r="G2" s="13"/>
      <c r="H2" s="13"/>
    </row>
    <row r="3" spans="1:8" ht="30" customHeight="1">
      <c r="A3" s="14" t="s">
        <v>206</v>
      </c>
      <c r="B3" s="14" t="s">
        <v>207</v>
      </c>
      <c r="C3" s="15" t="s">
        <v>208</v>
      </c>
      <c r="D3" s="16" t="s">
        <v>209</v>
      </c>
      <c r="E3" s="23">
        <v>3</v>
      </c>
      <c r="F3" s="18" t="s">
        <v>73</v>
      </c>
      <c r="G3" s="26" t="s">
        <v>210</v>
      </c>
      <c r="H3" s="16"/>
    </row>
    <row r="4" spans="1:8" ht="18" customHeight="1">
      <c r="A4" s="13" t="s">
        <v>211</v>
      </c>
      <c r="B4" s="13" t="s">
        <v>212</v>
      </c>
      <c r="C4" s="13"/>
      <c r="D4" s="13"/>
      <c r="E4" s="13"/>
      <c r="F4" s="13"/>
      <c r="G4" s="13"/>
      <c r="H4" s="13"/>
    </row>
    <row r="5" spans="1:8" ht="30" customHeight="1">
      <c r="A5" s="14" t="s">
        <v>211</v>
      </c>
      <c r="B5" s="14" t="s">
        <v>212</v>
      </c>
      <c r="C5" s="15" t="s">
        <v>213</v>
      </c>
      <c r="D5" s="16" t="s">
        <v>214</v>
      </c>
      <c r="E5" s="22">
        <v>1</v>
      </c>
      <c r="F5" s="18" t="s">
        <v>45</v>
      </c>
      <c r="G5" s="16"/>
      <c r="H5" s="16"/>
    </row>
    <row r="6" spans="1:8" ht="30" customHeight="1">
      <c r="A6" s="19" t="s">
        <v>211</v>
      </c>
      <c r="B6" s="19" t="s">
        <v>212</v>
      </c>
      <c r="C6" s="20" t="s">
        <v>215</v>
      </c>
      <c r="D6" s="21" t="s">
        <v>216</v>
      </c>
      <c r="E6" s="22">
        <v>1</v>
      </c>
      <c r="F6" s="18" t="s">
        <v>73</v>
      </c>
      <c r="G6" s="27" t="s">
        <v>217</v>
      </c>
      <c r="H6" s="21"/>
    </row>
    <row r="7" spans="1:8" ht="30" customHeight="1">
      <c r="A7" s="14" t="s">
        <v>211</v>
      </c>
      <c r="B7" s="14" t="s">
        <v>212</v>
      </c>
      <c r="C7" s="15" t="s">
        <v>218</v>
      </c>
      <c r="D7" s="16" t="s">
        <v>219</v>
      </c>
      <c r="E7" s="23">
        <v>3</v>
      </c>
      <c r="F7" s="18" t="s">
        <v>45</v>
      </c>
      <c r="G7" s="28" t="s">
        <v>220</v>
      </c>
      <c r="H7" s="16"/>
    </row>
    <row r="8" spans="1:8" ht="18" customHeight="1">
      <c r="A8" s="13" t="s">
        <v>221</v>
      </c>
      <c r="B8" s="13" t="s">
        <v>222</v>
      </c>
      <c r="C8" s="13"/>
      <c r="D8" s="13"/>
      <c r="E8" s="13"/>
      <c r="F8" s="13"/>
      <c r="G8" s="13"/>
      <c r="H8" s="13"/>
    </row>
    <row r="9" spans="1:8" ht="30" customHeight="1">
      <c r="A9" s="14" t="s">
        <v>221</v>
      </c>
      <c r="B9" s="14" t="s">
        <v>222</v>
      </c>
      <c r="C9" s="15" t="s">
        <v>223</v>
      </c>
      <c r="D9" s="16" t="s">
        <v>224</v>
      </c>
      <c r="E9" s="22">
        <v>1</v>
      </c>
      <c r="F9" s="18" t="s">
        <v>73</v>
      </c>
      <c r="G9" s="26" t="s">
        <v>225</v>
      </c>
      <c r="H9" s="26" t="s">
        <v>226</v>
      </c>
    </row>
    <row r="10" spans="1:8" ht="30" customHeight="1">
      <c r="A10" s="19" t="s">
        <v>221</v>
      </c>
      <c r="B10" s="19" t="s">
        <v>222</v>
      </c>
      <c r="C10" s="20" t="s">
        <v>227</v>
      </c>
      <c r="D10" s="21" t="s">
        <v>228</v>
      </c>
      <c r="E10" s="17">
        <v>2</v>
      </c>
      <c r="F10" s="18" t="s">
        <v>73</v>
      </c>
      <c r="G10" s="29" t="s">
        <v>229</v>
      </c>
      <c r="H10" s="29" t="s">
        <v>226</v>
      </c>
    </row>
    <row r="11" spans="1:8" ht="30" customHeight="1">
      <c r="A11" s="14" t="s">
        <v>221</v>
      </c>
      <c r="B11" s="14" t="s">
        <v>222</v>
      </c>
      <c r="C11" s="15" t="s">
        <v>230</v>
      </c>
      <c r="D11" s="16" t="s">
        <v>231</v>
      </c>
      <c r="E11" s="17">
        <v>2</v>
      </c>
      <c r="F11" s="18" t="s">
        <v>73</v>
      </c>
      <c r="G11" s="28" t="s">
        <v>232</v>
      </c>
      <c r="H11" s="28" t="s">
        <v>226</v>
      </c>
    </row>
    <row r="12" spans="1:8" ht="30" customHeight="1">
      <c r="A12" s="19" t="s">
        <v>221</v>
      </c>
      <c r="B12" s="19" t="s">
        <v>222</v>
      </c>
      <c r="C12" s="20" t="s">
        <v>233</v>
      </c>
      <c r="D12" s="21" t="s">
        <v>234</v>
      </c>
      <c r="E12" s="17">
        <v>2</v>
      </c>
      <c r="F12" s="18" t="s">
        <v>73</v>
      </c>
      <c r="G12" s="29" t="s">
        <v>235</v>
      </c>
      <c r="H12" s="29" t="s">
        <v>226</v>
      </c>
    </row>
    <row r="13" spans="1:8" ht="30" customHeight="1">
      <c r="A13" s="14" t="s">
        <v>221</v>
      </c>
      <c r="B13" s="14" t="s">
        <v>222</v>
      </c>
      <c r="C13" s="15" t="s">
        <v>236</v>
      </c>
      <c r="D13" s="16" t="s">
        <v>237</v>
      </c>
      <c r="E13" s="23">
        <v>3</v>
      </c>
      <c r="F13" s="18" t="s">
        <v>73</v>
      </c>
      <c r="G13" s="28" t="s">
        <v>238</v>
      </c>
      <c r="H13" s="28" t="s">
        <v>226</v>
      </c>
    </row>
    <row r="14" spans="1:8" ht="18" customHeight="1">
      <c r="A14" s="13" t="s">
        <v>239</v>
      </c>
      <c r="B14" s="13" t="s">
        <v>240</v>
      </c>
      <c r="C14" s="13"/>
      <c r="D14" s="13"/>
      <c r="E14" s="13"/>
      <c r="F14" s="13"/>
      <c r="G14" s="13"/>
      <c r="H14" s="13"/>
    </row>
    <row r="15" spans="1:8" ht="30" customHeight="1">
      <c r="A15" s="14" t="s">
        <v>239</v>
      </c>
      <c r="B15" s="14" t="s">
        <v>240</v>
      </c>
      <c r="C15" s="15" t="s">
        <v>241</v>
      </c>
      <c r="D15" s="16" t="s">
        <v>242</v>
      </c>
      <c r="E15" s="22">
        <v>1</v>
      </c>
      <c r="F15" s="18" t="s">
        <v>45</v>
      </c>
      <c r="G15" s="26" t="s">
        <v>243</v>
      </c>
      <c r="H15" s="26" t="s">
        <v>244</v>
      </c>
    </row>
    <row r="16" spans="1:8" ht="30" customHeight="1">
      <c r="A16" s="19" t="s">
        <v>239</v>
      </c>
      <c r="B16" s="19" t="s">
        <v>240</v>
      </c>
      <c r="C16" s="20" t="s">
        <v>245</v>
      </c>
      <c r="D16" s="21" t="s">
        <v>246</v>
      </c>
      <c r="E16" s="22">
        <v>1</v>
      </c>
      <c r="F16" s="18" t="s">
        <v>45</v>
      </c>
      <c r="G16" s="29" t="s">
        <v>247</v>
      </c>
      <c r="H16" s="29" t="s">
        <v>248</v>
      </c>
    </row>
    <row r="17" spans="1:8" ht="30" customHeight="1">
      <c r="A17" s="14" t="s">
        <v>239</v>
      </c>
      <c r="B17" s="14" t="s">
        <v>240</v>
      </c>
      <c r="C17" s="15" t="s">
        <v>249</v>
      </c>
      <c r="D17" s="16" t="s">
        <v>250</v>
      </c>
      <c r="E17" s="17">
        <v>2</v>
      </c>
      <c r="F17" s="18" t="s">
        <v>45</v>
      </c>
      <c r="G17" s="28" t="s">
        <v>251</v>
      </c>
      <c r="H17" s="28" t="s">
        <v>248</v>
      </c>
    </row>
    <row r="18" spans="1:8" ht="30" customHeight="1">
      <c r="A18" s="19" t="s">
        <v>239</v>
      </c>
      <c r="B18" s="19" t="s">
        <v>240</v>
      </c>
      <c r="C18" s="20" t="s">
        <v>252</v>
      </c>
      <c r="D18" s="21" t="s">
        <v>253</v>
      </c>
      <c r="E18" s="17">
        <v>2</v>
      </c>
      <c r="F18" s="18" t="s">
        <v>45</v>
      </c>
      <c r="G18" s="29" t="s">
        <v>254</v>
      </c>
      <c r="H18" s="29" t="s">
        <v>255</v>
      </c>
    </row>
    <row r="19" spans="1:8" ht="30" customHeight="1">
      <c r="A19" s="14" t="s">
        <v>239</v>
      </c>
      <c r="B19" s="14" t="s">
        <v>240</v>
      </c>
      <c r="C19" s="15" t="s">
        <v>256</v>
      </c>
      <c r="D19" s="16" t="s">
        <v>257</v>
      </c>
      <c r="E19" s="17">
        <v>2</v>
      </c>
      <c r="F19" s="18" t="s">
        <v>45</v>
      </c>
      <c r="G19" s="28" t="s">
        <v>258</v>
      </c>
      <c r="H19" s="28" t="s">
        <v>248</v>
      </c>
    </row>
    <row r="20" spans="1:8" ht="30" customHeight="1">
      <c r="A20" s="19" t="s">
        <v>239</v>
      </c>
      <c r="B20" s="19" t="s">
        <v>240</v>
      </c>
      <c r="C20" s="20" t="s">
        <v>259</v>
      </c>
      <c r="D20" s="21" t="s">
        <v>260</v>
      </c>
      <c r="E20" s="17">
        <v>2</v>
      </c>
      <c r="F20" s="18" t="s">
        <v>45</v>
      </c>
      <c r="G20" s="29" t="s">
        <v>261</v>
      </c>
      <c r="H20" s="29" t="s">
        <v>262</v>
      </c>
    </row>
    <row r="21" spans="1:8" ht="30" customHeight="1">
      <c r="A21" s="14" t="s">
        <v>239</v>
      </c>
      <c r="B21" s="14" t="s">
        <v>240</v>
      </c>
      <c r="C21" s="15" t="s">
        <v>263</v>
      </c>
      <c r="D21" s="16" t="s">
        <v>264</v>
      </c>
      <c r="E21" s="23">
        <v>3</v>
      </c>
      <c r="F21" s="18" t="s">
        <v>45</v>
      </c>
      <c r="G21" s="28" t="s">
        <v>265</v>
      </c>
      <c r="H21" s="28" t="s">
        <v>248</v>
      </c>
    </row>
    <row r="22" spans="1:8" ht="30" customHeight="1">
      <c r="A22" s="19" t="s">
        <v>239</v>
      </c>
      <c r="B22" s="19" t="s">
        <v>240</v>
      </c>
      <c r="C22" s="20" t="s">
        <v>266</v>
      </c>
      <c r="D22" s="21" t="s">
        <v>267</v>
      </c>
      <c r="E22" s="23">
        <v>3</v>
      </c>
      <c r="F22" s="18" t="s">
        <v>45</v>
      </c>
      <c r="G22" s="29" t="s">
        <v>268</v>
      </c>
      <c r="H22" s="29" t="s">
        <v>248</v>
      </c>
    </row>
    <row r="23" spans="1:8" ht="18" customHeight="1">
      <c r="A23" s="13" t="s">
        <v>269</v>
      </c>
      <c r="B23" s="13" t="s">
        <v>270</v>
      </c>
      <c r="C23" s="13"/>
      <c r="D23" s="13"/>
      <c r="E23" s="13"/>
      <c r="F23" s="13"/>
      <c r="G23" s="13"/>
      <c r="H23" s="13"/>
    </row>
    <row r="24" spans="1:8" ht="30" customHeight="1">
      <c r="A24" s="14" t="s">
        <v>269</v>
      </c>
      <c r="B24" s="14" t="s">
        <v>270</v>
      </c>
      <c r="C24" s="15" t="s">
        <v>271</v>
      </c>
      <c r="D24" s="16" t="s">
        <v>272</v>
      </c>
      <c r="E24" s="22">
        <v>1</v>
      </c>
      <c r="F24" s="18" t="s">
        <v>73</v>
      </c>
      <c r="G24" s="26" t="s">
        <v>273</v>
      </c>
      <c r="H24" s="26" t="s">
        <v>226</v>
      </c>
    </row>
    <row r="25" spans="1:8" ht="30" customHeight="1">
      <c r="A25" s="19" t="s">
        <v>269</v>
      </c>
      <c r="B25" s="19" t="s">
        <v>270</v>
      </c>
      <c r="C25" s="20" t="s">
        <v>274</v>
      </c>
      <c r="D25" s="21" t="s">
        <v>275</v>
      </c>
      <c r="E25" s="22">
        <v>1</v>
      </c>
      <c r="F25" s="18" t="s">
        <v>45</v>
      </c>
      <c r="G25" s="29" t="s">
        <v>276</v>
      </c>
      <c r="H25" s="29" t="s">
        <v>248</v>
      </c>
    </row>
    <row r="26" spans="1:8" ht="30" customHeight="1">
      <c r="A26" s="14" t="s">
        <v>269</v>
      </c>
      <c r="B26" s="14" t="s">
        <v>270</v>
      </c>
      <c r="C26" s="15" t="s">
        <v>277</v>
      </c>
      <c r="D26" s="16" t="s">
        <v>278</v>
      </c>
      <c r="E26" s="22">
        <v>1</v>
      </c>
      <c r="F26" s="18" t="s">
        <v>55</v>
      </c>
      <c r="G26" s="28" t="s">
        <v>279</v>
      </c>
      <c r="H26" s="28" t="s">
        <v>280</v>
      </c>
    </row>
    <row r="27" spans="1:8" ht="30" customHeight="1">
      <c r="A27" s="19" t="s">
        <v>269</v>
      </c>
      <c r="B27" s="19" t="s">
        <v>270</v>
      </c>
      <c r="C27" s="20" t="s">
        <v>281</v>
      </c>
      <c r="D27" s="21" t="s">
        <v>282</v>
      </c>
      <c r="E27" s="17">
        <v>2</v>
      </c>
      <c r="F27" s="18" t="s">
        <v>73</v>
      </c>
      <c r="G27" s="29" t="s">
        <v>283</v>
      </c>
      <c r="H27" s="29" t="s">
        <v>164</v>
      </c>
    </row>
    <row r="28" spans="1:8" ht="30" customHeight="1">
      <c r="A28" s="14" t="s">
        <v>269</v>
      </c>
      <c r="B28" s="14" t="s">
        <v>270</v>
      </c>
      <c r="C28" s="15" t="s">
        <v>284</v>
      </c>
      <c r="D28" s="16" t="s">
        <v>285</v>
      </c>
      <c r="E28" s="17">
        <v>2</v>
      </c>
      <c r="F28" s="18" t="s">
        <v>73</v>
      </c>
      <c r="G28" s="28" t="s">
        <v>286</v>
      </c>
      <c r="H28" s="28" t="s">
        <v>164</v>
      </c>
    </row>
    <row r="29" spans="1:8" ht="30" customHeight="1">
      <c r="A29" s="19" t="s">
        <v>269</v>
      </c>
      <c r="B29" s="19" t="s">
        <v>270</v>
      </c>
      <c r="C29" s="20" t="s">
        <v>287</v>
      </c>
      <c r="D29" s="21" t="s">
        <v>288</v>
      </c>
      <c r="E29" s="23">
        <v>3</v>
      </c>
      <c r="F29" s="18" t="s">
        <v>73</v>
      </c>
      <c r="G29" s="29" t="s">
        <v>289</v>
      </c>
      <c r="H29" s="29" t="s">
        <v>164</v>
      </c>
    </row>
    <row r="30" spans="1:8" ht="30" customHeight="1">
      <c r="A30" s="14" t="s">
        <v>269</v>
      </c>
      <c r="B30" s="14" t="s">
        <v>270</v>
      </c>
      <c r="C30" s="15" t="s">
        <v>290</v>
      </c>
      <c r="D30" s="16" t="s">
        <v>291</v>
      </c>
      <c r="E30" s="23">
        <v>3</v>
      </c>
      <c r="F30" s="18" t="s">
        <v>73</v>
      </c>
      <c r="G30" s="28" t="s">
        <v>292</v>
      </c>
      <c r="H30" s="28" t="s">
        <v>164</v>
      </c>
    </row>
    <row r="31" spans="1:8" ht="30" customHeight="1">
      <c r="A31" s="19" t="s">
        <v>269</v>
      </c>
      <c r="B31" s="19" t="s">
        <v>270</v>
      </c>
      <c r="C31" s="20" t="s">
        <v>293</v>
      </c>
      <c r="D31" s="21" t="s">
        <v>294</v>
      </c>
      <c r="E31" s="23">
        <v>3</v>
      </c>
      <c r="F31" s="18" t="s">
        <v>45</v>
      </c>
      <c r="G31" s="29" t="s">
        <v>295</v>
      </c>
      <c r="H31" s="29" t="s">
        <v>248</v>
      </c>
    </row>
    <row r="32" spans="1:8" ht="18" customHeight="1">
      <c r="A32" s="13" t="s">
        <v>296</v>
      </c>
      <c r="B32" s="13" t="s">
        <v>297</v>
      </c>
      <c r="C32" s="13"/>
      <c r="D32" s="13"/>
      <c r="E32" s="13"/>
      <c r="F32" s="13"/>
      <c r="G32" s="13"/>
      <c r="H32" s="13"/>
    </row>
    <row r="33" spans="1:8" ht="30" customHeight="1">
      <c r="A33" s="14" t="s">
        <v>296</v>
      </c>
      <c r="B33" s="14" t="s">
        <v>297</v>
      </c>
      <c r="C33" s="15" t="s">
        <v>298</v>
      </c>
      <c r="D33" s="16" t="s">
        <v>299</v>
      </c>
      <c r="E33" s="23">
        <v>3</v>
      </c>
      <c r="F33" s="18" t="s">
        <v>73</v>
      </c>
      <c r="G33" s="26" t="s">
        <v>300</v>
      </c>
      <c r="H33" s="16"/>
    </row>
    <row r="34" spans="1:8" ht="18" customHeight="1">
      <c r="A34" s="13" t="s">
        <v>301</v>
      </c>
      <c r="B34" s="13" t="s">
        <v>302</v>
      </c>
      <c r="C34" s="13"/>
      <c r="D34" s="13"/>
      <c r="E34" s="13"/>
      <c r="F34" s="13"/>
      <c r="G34" s="13"/>
      <c r="H34" s="13"/>
    </row>
    <row r="35" spans="1:8" ht="30" customHeight="1">
      <c r="A35" s="14" t="s">
        <v>301</v>
      </c>
      <c r="B35" s="14" t="s">
        <v>302</v>
      </c>
      <c r="C35" s="15" t="s">
        <v>303</v>
      </c>
      <c r="D35" s="16" t="s">
        <v>304</v>
      </c>
      <c r="E35" s="17">
        <v>2</v>
      </c>
      <c r="F35" s="18" t="s">
        <v>73</v>
      </c>
      <c r="G35" s="26" t="s">
        <v>305</v>
      </c>
      <c r="H35" s="26" t="s">
        <v>164</v>
      </c>
    </row>
    <row r="36" spans="1:8" ht="30" customHeight="1">
      <c r="A36" s="19" t="s">
        <v>301</v>
      </c>
      <c r="B36" s="19" t="s">
        <v>302</v>
      </c>
      <c r="C36" s="20" t="s">
        <v>306</v>
      </c>
      <c r="D36" s="21" t="s">
        <v>307</v>
      </c>
      <c r="E36" s="17">
        <v>2</v>
      </c>
      <c r="F36" s="18" t="s">
        <v>45</v>
      </c>
      <c r="G36" s="29" t="s">
        <v>308</v>
      </c>
      <c r="H36" s="29" t="s">
        <v>57</v>
      </c>
    </row>
    <row r="37" spans="1:8" ht="30" customHeight="1">
      <c r="A37" s="14" t="s">
        <v>301</v>
      </c>
      <c r="B37" s="14" t="s">
        <v>302</v>
      </c>
      <c r="C37" s="15" t="s">
        <v>309</v>
      </c>
      <c r="D37" s="16" t="s">
        <v>310</v>
      </c>
      <c r="E37" s="23">
        <v>3</v>
      </c>
      <c r="F37" s="18" t="s">
        <v>73</v>
      </c>
      <c r="G37" s="28" t="s">
        <v>311</v>
      </c>
      <c r="H37" s="28" t="s">
        <v>164</v>
      </c>
    </row>
    <row r="38" spans="1:8" ht="30" customHeight="1">
      <c r="A38" s="19" t="s">
        <v>301</v>
      </c>
      <c r="B38" s="19" t="s">
        <v>302</v>
      </c>
      <c r="C38" s="20" t="s">
        <v>312</v>
      </c>
      <c r="D38" s="21" t="s">
        <v>313</v>
      </c>
      <c r="E38" s="23">
        <v>3</v>
      </c>
      <c r="F38" s="18" t="s">
        <v>45</v>
      </c>
      <c r="G38" s="29" t="s">
        <v>314</v>
      </c>
      <c r="H38" s="29" t="s">
        <v>244</v>
      </c>
    </row>
    <row r="39" spans="1:8" ht="30" customHeight="1">
      <c r="A39" s="14" t="s">
        <v>301</v>
      </c>
      <c r="B39" s="14" t="s">
        <v>302</v>
      </c>
      <c r="C39" s="15" t="s">
        <v>315</v>
      </c>
      <c r="D39" s="16" t="s">
        <v>316</v>
      </c>
      <c r="E39" s="23">
        <v>3</v>
      </c>
      <c r="F39" s="18" t="s">
        <v>73</v>
      </c>
      <c r="G39" s="28" t="s">
        <v>317</v>
      </c>
      <c r="H39" s="28" t="s">
        <v>164</v>
      </c>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9" xr:uid="{00000000-0002-0000-03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75" zoomScaleNormal="75" workbookViewId="0">
      <pane ySplit="1" topLeftCell="A2" activePane="bottomLeft" state="frozen"/>
      <selection pane="bottomLeft" activeCell="H9" sqref="H9"/>
    </sheetView>
  </sheetViews>
  <sheetFormatPr defaultColWidth="8.5703125" defaultRowHeight="14.4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c r="A1" s="12" t="s">
        <v>33</v>
      </c>
      <c r="B1" s="12" t="s">
        <v>34</v>
      </c>
      <c r="C1" s="12" t="s">
        <v>35</v>
      </c>
      <c r="D1" s="12" t="s">
        <v>36</v>
      </c>
      <c r="E1" s="12" t="s">
        <v>37</v>
      </c>
      <c r="F1" s="12" t="s">
        <v>38</v>
      </c>
      <c r="G1" s="12" t="s">
        <v>39</v>
      </c>
      <c r="H1" s="12" t="s">
        <v>40</v>
      </c>
    </row>
    <row r="2" spans="1:8" ht="18" customHeight="1">
      <c r="A2" s="13" t="s">
        <v>318</v>
      </c>
      <c r="B2" s="13" t="s">
        <v>319</v>
      </c>
      <c r="C2" s="13"/>
      <c r="D2" s="13"/>
      <c r="E2" s="13"/>
      <c r="F2" s="13"/>
      <c r="G2" s="13"/>
      <c r="H2" s="13"/>
    </row>
    <row r="3" spans="1:8" ht="30" customHeight="1">
      <c r="A3" s="14" t="s">
        <v>318</v>
      </c>
      <c r="B3" s="14" t="s">
        <v>319</v>
      </c>
      <c r="C3" s="15" t="s">
        <v>320</v>
      </c>
      <c r="D3" s="16" t="s">
        <v>321</v>
      </c>
      <c r="E3" s="22">
        <v>1</v>
      </c>
      <c r="F3" s="18" t="s">
        <v>55</v>
      </c>
      <c r="G3" s="16" t="s">
        <v>322</v>
      </c>
      <c r="H3" s="16" t="s">
        <v>280</v>
      </c>
    </row>
    <row r="4" spans="1:8" ht="30" customHeight="1">
      <c r="A4" s="19" t="s">
        <v>318</v>
      </c>
      <c r="B4" s="19" t="s">
        <v>319</v>
      </c>
      <c r="C4" s="20" t="s">
        <v>323</v>
      </c>
      <c r="D4" s="21" t="s">
        <v>324</v>
      </c>
      <c r="E4" s="17">
        <v>2</v>
      </c>
      <c r="F4" s="18" t="s">
        <v>45</v>
      </c>
      <c r="G4" s="21" t="s">
        <v>325</v>
      </c>
      <c r="H4" s="21" t="s">
        <v>326</v>
      </c>
    </row>
    <row r="5" spans="1:8" ht="30" customHeight="1">
      <c r="A5" s="14" t="s">
        <v>318</v>
      </c>
      <c r="B5" s="14" t="s">
        <v>319</v>
      </c>
      <c r="C5" s="15" t="s">
        <v>327</v>
      </c>
      <c r="D5" s="16" t="s">
        <v>328</v>
      </c>
      <c r="E5" s="17">
        <v>2</v>
      </c>
      <c r="F5" s="18" t="s">
        <v>45</v>
      </c>
      <c r="G5" s="16" t="s">
        <v>329</v>
      </c>
      <c r="H5" s="16" t="s">
        <v>248</v>
      </c>
    </row>
    <row r="6" spans="1:8" ht="30" customHeight="1">
      <c r="A6" s="19" t="s">
        <v>318</v>
      </c>
      <c r="B6" s="19" t="s">
        <v>319</v>
      </c>
      <c r="C6" s="20" t="s">
        <v>330</v>
      </c>
      <c r="D6" s="21" t="s">
        <v>331</v>
      </c>
      <c r="E6" s="23">
        <v>3</v>
      </c>
      <c r="F6" s="18" t="s">
        <v>55</v>
      </c>
      <c r="G6" s="21" t="s">
        <v>332</v>
      </c>
      <c r="H6" s="21" t="s">
        <v>280</v>
      </c>
    </row>
    <row r="7" spans="1:8" ht="30" customHeight="1">
      <c r="A7" s="14" t="s">
        <v>318</v>
      </c>
      <c r="B7" s="14" t="s">
        <v>319</v>
      </c>
      <c r="C7" s="15" t="s">
        <v>333</v>
      </c>
      <c r="D7" s="16" t="s">
        <v>334</v>
      </c>
      <c r="E7" s="23">
        <v>3</v>
      </c>
      <c r="F7" s="18" t="s">
        <v>73</v>
      </c>
      <c r="G7" s="16" t="s">
        <v>335</v>
      </c>
      <c r="H7" s="16"/>
    </row>
    <row r="8" spans="1:8" ht="18" customHeight="1">
      <c r="A8" s="13" t="s">
        <v>336</v>
      </c>
      <c r="B8" s="13" t="s">
        <v>337</v>
      </c>
      <c r="C8" s="13"/>
      <c r="D8" s="13"/>
      <c r="E8" s="13"/>
      <c r="F8" s="13"/>
      <c r="G8" s="13"/>
      <c r="H8" s="13"/>
    </row>
    <row r="9" spans="1:8" ht="30" customHeight="1">
      <c r="A9" s="14" t="s">
        <v>336</v>
      </c>
      <c r="B9" s="14" t="s">
        <v>337</v>
      </c>
      <c r="C9" s="15" t="s">
        <v>338</v>
      </c>
      <c r="D9" s="16" t="s">
        <v>339</v>
      </c>
      <c r="E9" s="17">
        <v>2</v>
      </c>
      <c r="F9" s="18" t="s">
        <v>45</v>
      </c>
      <c r="G9" s="16" t="s">
        <v>340</v>
      </c>
      <c r="H9" s="16"/>
    </row>
    <row r="10" spans="1:8" ht="30" customHeight="1">
      <c r="A10" s="19" t="s">
        <v>336</v>
      </c>
      <c r="B10" s="19" t="s">
        <v>337</v>
      </c>
      <c r="C10" s="20" t="s">
        <v>341</v>
      </c>
      <c r="D10" s="21" t="s">
        <v>342</v>
      </c>
      <c r="E10" s="23">
        <v>3</v>
      </c>
      <c r="F10" s="18" t="s">
        <v>45</v>
      </c>
      <c r="G10" s="21" t="s">
        <v>343</v>
      </c>
      <c r="H10" s="21"/>
    </row>
    <row r="11" spans="1:8" ht="30" customHeight="1">
      <c r="A11" s="14" t="s">
        <v>336</v>
      </c>
      <c r="B11" s="14" t="s">
        <v>337</v>
      </c>
      <c r="C11" s="15" t="s">
        <v>344</v>
      </c>
      <c r="D11" s="16" t="s">
        <v>345</v>
      </c>
      <c r="E11" s="23">
        <v>3</v>
      </c>
      <c r="F11" s="18" t="s">
        <v>45</v>
      </c>
      <c r="G11" s="16" t="s">
        <v>346</v>
      </c>
      <c r="H11" s="16"/>
    </row>
    <row r="12" spans="1:8" ht="30" customHeight="1">
      <c r="A12" s="19" t="s">
        <v>336</v>
      </c>
      <c r="B12" s="19" t="s">
        <v>337</v>
      </c>
      <c r="C12" s="20" t="s">
        <v>347</v>
      </c>
      <c r="D12" s="21" t="s">
        <v>348</v>
      </c>
      <c r="E12" s="23">
        <v>3</v>
      </c>
      <c r="F12" s="18" t="s">
        <v>45</v>
      </c>
      <c r="G12" s="21" t="s">
        <v>349</v>
      </c>
      <c r="H12" s="21"/>
    </row>
    <row r="13" spans="1:8" ht="30" customHeight="1">
      <c r="A13" s="14" t="s">
        <v>336</v>
      </c>
      <c r="B13" s="14" t="s">
        <v>337</v>
      </c>
      <c r="C13" s="15" t="s">
        <v>350</v>
      </c>
      <c r="D13" s="16" t="s">
        <v>351</v>
      </c>
      <c r="E13" s="23">
        <v>3</v>
      </c>
      <c r="F13" s="18" t="s">
        <v>55</v>
      </c>
      <c r="G13" s="16" t="s">
        <v>352</v>
      </c>
      <c r="H13" s="16" t="s">
        <v>57</v>
      </c>
    </row>
    <row r="14" spans="1:8" ht="18" customHeight="1">
      <c r="A14" s="13" t="s">
        <v>353</v>
      </c>
      <c r="B14" s="13" t="s">
        <v>354</v>
      </c>
      <c r="C14" s="13"/>
      <c r="D14" s="13"/>
      <c r="E14" s="13"/>
      <c r="F14" s="13"/>
      <c r="G14" s="13"/>
      <c r="H14" s="13"/>
    </row>
    <row r="15" spans="1:8" ht="30" customHeight="1">
      <c r="A15" s="14" t="s">
        <v>353</v>
      </c>
      <c r="B15" s="14" t="s">
        <v>354</v>
      </c>
      <c r="C15" s="15" t="s">
        <v>355</v>
      </c>
      <c r="D15" s="16" t="s">
        <v>356</v>
      </c>
      <c r="E15" s="17">
        <v>2</v>
      </c>
      <c r="F15" s="18" t="s">
        <v>73</v>
      </c>
      <c r="G15" s="16" t="s">
        <v>357</v>
      </c>
      <c r="H15" s="16"/>
    </row>
    <row r="16" spans="1:8" ht="30" customHeight="1">
      <c r="A16" s="19" t="s">
        <v>353</v>
      </c>
      <c r="B16" s="19" t="s">
        <v>354</v>
      </c>
      <c r="C16" s="20" t="s">
        <v>358</v>
      </c>
      <c r="D16" s="21" t="s">
        <v>359</v>
      </c>
      <c r="E16" s="17">
        <v>2</v>
      </c>
      <c r="F16" s="18" t="s">
        <v>73</v>
      </c>
      <c r="G16" s="21" t="s">
        <v>360</v>
      </c>
      <c r="H16" s="21"/>
    </row>
    <row r="17" spans="1:8" ht="18" customHeight="1">
      <c r="A17" s="13" t="s">
        <v>361</v>
      </c>
      <c r="B17" s="13" t="s">
        <v>362</v>
      </c>
      <c r="C17" s="13"/>
      <c r="D17" s="13"/>
      <c r="E17" s="13"/>
      <c r="F17" s="13"/>
      <c r="G17" s="13"/>
      <c r="H17" s="13"/>
    </row>
    <row r="18" spans="1:8" ht="30" customHeight="1">
      <c r="A18" s="14" t="s">
        <v>361</v>
      </c>
      <c r="B18" s="14" t="s">
        <v>362</v>
      </c>
      <c r="C18" s="15" t="s">
        <v>363</v>
      </c>
      <c r="D18" s="16" t="s">
        <v>364</v>
      </c>
      <c r="E18" s="22">
        <v>1</v>
      </c>
      <c r="F18" s="18" t="s">
        <v>73</v>
      </c>
      <c r="G18" s="16" t="s">
        <v>365</v>
      </c>
      <c r="H18" s="16"/>
    </row>
    <row r="19" spans="1:8" ht="30" customHeight="1">
      <c r="A19" s="19" t="s">
        <v>361</v>
      </c>
      <c r="B19" s="19" t="s">
        <v>362</v>
      </c>
      <c r="C19" s="20" t="s">
        <v>366</v>
      </c>
      <c r="D19" s="21" t="s">
        <v>367</v>
      </c>
      <c r="E19" s="17">
        <v>2</v>
      </c>
      <c r="F19" s="18" t="s">
        <v>73</v>
      </c>
      <c r="G19" s="21" t="s">
        <v>368</v>
      </c>
      <c r="H19" s="21"/>
    </row>
    <row r="20" spans="1:8" ht="30" customHeight="1">
      <c r="A20" s="14" t="s">
        <v>361</v>
      </c>
      <c r="B20" s="14" t="s">
        <v>362</v>
      </c>
      <c r="C20" s="15" t="s">
        <v>369</v>
      </c>
      <c r="D20" s="16" t="s">
        <v>370</v>
      </c>
      <c r="E20" s="17">
        <v>2</v>
      </c>
      <c r="F20" s="18" t="s">
        <v>73</v>
      </c>
      <c r="G20" s="16" t="s">
        <v>371</v>
      </c>
      <c r="H20" s="16"/>
    </row>
    <row r="21" spans="1:8" ht="30" customHeight="1">
      <c r="A21" s="19" t="s">
        <v>361</v>
      </c>
      <c r="B21" s="19" t="s">
        <v>362</v>
      </c>
      <c r="C21" s="20" t="s">
        <v>372</v>
      </c>
      <c r="D21" s="21" t="s">
        <v>373</v>
      </c>
      <c r="E21" s="17">
        <v>2</v>
      </c>
      <c r="F21" s="18" t="s">
        <v>73</v>
      </c>
      <c r="G21" s="21" t="s">
        <v>374</v>
      </c>
      <c r="H21" s="21"/>
    </row>
  </sheetData>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1" xr:uid="{00000000-0002-0000-04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zoomScale="75" zoomScaleNormal="75" workbookViewId="0">
      <pane ySplit="1" topLeftCell="A6" activePane="bottomLeft" state="frozen"/>
      <selection pane="bottomLeft" activeCell="H18" sqref="H18"/>
    </sheetView>
  </sheetViews>
  <sheetFormatPr defaultColWidth="8.5703125" defaultRowHeight="14.4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c r="A1" s="12" t="s">
        <v>33</v>
      </c>
      <c r="B1" s="12" t="s">
        <v>34</v>
      </c>
      <c r="C1" s="12" t="s">
        <v>35</v>
      </c>
      <c r="D1" s="12" t="s">
        <v>36</v>
      </c>
      <c r="E1" s="12" t="s">
        <v>37</v>
      </c>
      <c r="F1" s="12" t="s">
        <v>38</v>
      </c>
      <c r="G1" s="12" t="s">
        <v>39</v>
      </c>
      <c r="H1" s="12" t="s">
        <v>40</v>
      </c>
    </row>
    <row r="2" spans="1:8" ht="18" customHeight="1">
      <c r="A2" s="13" t="s">
        <v>375</v>
      </c>
      <c r="B2" s="13" t="s">
        <v>376</v>
      </c>
      <c r="C2" s="13"/>
      <c r="D2" s="13"/>
      <c r="E2" s="13"/>
      <c r="F2" s="13"/>
      <c r="G2" s="13"/>
      <c r="H2" s="13"/>
    </row>
    <row r="3" spans="1:8" ht="30" customHeight="1">
      <c r="A3" s="14" t="s">
        <v>375</v>
      </c>
      <c r="B3" s="14" t="s">
        <v>376</v>
      </c>
      <c r="C3" s="15" t="s">
        <v>377</v>
      </c>
      <c r="D3" s="16" t="s">
        <v>378</v>
      </c>
      <c r="E3" s="17">
        <v>2</v>
      </c>
      <c r="F3" s="18" t="s">
        <v>48</v>
      </c>
      <c r="G3" s="16" t="s">
        <v>379</v>
      </c>
      <c r="H3" s="16" t="s">
        <v>380</v>
      </c>
    </row>
    <row r="4" spans="1:8" ht="18" customHeight="1">
      <c r="A4" s="13" t="s">
        <v>381</v>
      </c>
      <c r="B4" s="13" t="s">
        <v>382</v>
      </c>
      <c r="C4" s="13"/>
      <c r="D4" s="13"/>
      <c r="E4" s="13"/>
      <c r="F4" s="13"/>
      <c r="G4" s="13"/>
      <c r="H4" s="13"/>
    </row>
    <row r="5" spans="1:8" ht="30" customHeight="1">
      <c r="A5" s="14" t="s">
        <v>381</v>
      </c>
      <c r="B5" s="14" t="s">
        <v>382</v>
      </c>
      <c r="C5" s="15" t="s">
        <v>383</v>
      </c>
      <c r="D5" s="16" t="s">
        <v>384</v>
      </c>
      <c r="E5" s="22">
        <v>1</v>
      </c>
      <c r="F5" s="18" t="s">
        <v>55</v>
      </c>
      <c r="G5" s="16" t="s">
        <v>385</v>
      </c>
      <c r="H5" s="16"/>
    </row>
    <row r="6" spans="1:8" ht="30" customHeight="1">
      <c r="A6" s="19" t="s">
        <v>381</v>
      </c>
      <c r="B6" s="19" t="s">
        <v>382</v>
      </c>
      <c r="C6" s="20" t="s">
        <v>386</v>
      </c>
      <c r="D6" s="21" t="s">
        <v>387</v>
      </c>
      <c r="E6" s="22">
        <v>1</v>
      </c>
      <c r="F6" s="18" t="s">
        <v>55</v>
      </c>
      <c r="G6" s="21" t="s">
        <v>388</v>
      </c>
      <c r="H6" t="s">
        <v>389</v>
      </c>
    </row>
    <row r="7" spans="1:8" ht="30" customHeight="1">
      <c r="A7" s="14" t="s">
        <v>381</v>
      </c>
      <c r="B7" s="14" t="s">
        <v>382</v>
      </c>
      <c r="C7" s="15" t="s">
        <v>390</v>
      </c>
      <c r="D7" s="16" t="s">
        <v>391</v>
      </c>
      <c r="E7" s="17">
        <v>2</v>
      </c>
      <c r="F7" s="18" t="s">
        <v>55</v>
      </c>
      <c r="G7" s="16" t="s">
        <v>392</v>
      </c>
      <c r="H7" s="16" t="s">
        <v>389</v>
      </c>
    </row>
    <row r="8" spans="1:8" ht="30" customHeight="1">
      <c r="A8" s="19" t="s">
        <v>381</v>
      </c>
      <c r="B8" s="19" t="s">
        <v>382</v>
      </c>
      <c r="C8" s="20" t="s">
        <v>393</v>
      </c>
      <c r="D8" s="21" t="s">
        <v>394</v>
      </c>
      <c r="E8" s="23">
        <v>3</v>
      </c>
      <c r="F8" s="18" t="s">
        <v>55</v>
      </c>
      <c r="G8" s="21" t="s">
        <v>395</v>
      </c>
      <c r="H8" s="21"/>
    </row>
    <row r="9" spans="1:8" ht="30" customHeight="1">
      <c r="A9" s="14" t="s">
        <v>381</v>
      </c>
      <c r="B9" s="14" t="s">
        <v>382</v>
      </c>
      <c r="C9" s="15" t="s">
        <v>396</v>
      </c>
      <c r="D9" s="16" t="s">
        <v>397</v>
      </c>
      <c r="E9" s="23">
        <v>3</v>
      </c>
      <c r="F9" s="18" t="s">
        <v>55</v>
      </c>
      <c r="G9" s="16" t="s">
        <v>398</v>
      </c>
      <c r="H9" s="16" t="s">
        <v>399</v>
      </c>
    </row>
    <row r="10" spans="1:8" ht="30" customHeight="1">
      <c r="A10" s="19" t="s">
        <v>381</v>
      </c>
      <c r="B10" s="19" t="s">
        <v>382</v>
      </c>
      <c r="C10" s="20" t="s">
        <v>400</v>
      </c>
      <c r="D10" s="21" t="s">
        <v>401</v>
      </c>
      <c r="E10" s="23">
        <v>3</v>
      </c>
      <c r="F10" s="18" t="s">
        <v>55</v>
      </c>
      <c r="G10" s="21" t="s">
        <v>402</v>
      </c>
      <c r="H10" s="21" t="s">
        <v>403</v>
      </c>
    </row>
    <row r="11" spans="1:8" ht="18" customHeight="1">
      <c r="A11" s="13" t="s">
        <v>404</v>
      </c>
      <c r="B11" s="13" t="s">
        <v>405</v>
      </c>
      <c r="C11" s="13"/>
      <c r="D11" s="13"/>
      <c r="E11" s="13"/>
      <c r="F11" s="13"/>
      <c r="G11" s="13"/>
      <c r="H11" s="13"/>
    </row>
    <row r="12" spans="1:8" ht="30" customHeight="1">
      <c r="A12" s="14" t="s">
        <v>404</v>
      </c>
      <c r="B12" s="14" t="s">
        <v>405</v>
      </c>
      <c r="C12" s="15" t="s">
        <v>406</v>
      </c>
      <c r="D12" s="16" t="s">
        <v>407</v>
      </c>
      <c r="E12" s="22">
        <v>1</v>
      </c>
      <c r="F12" s="18" t="s">
        <v>48</v>
      </c>
      <c r="G12" s="16" t="s">
        <v>408</v>
      </c>
      <c r="H12" s="16"/>
    </row>
    <row r="13" spans="1:8" ht="30" customHeight="1">
      <c r="A13" s="19" t="s">
        <v>404</v>
      </c>
      <c r="B13" s="19" t="s">
        <v>405</v>
      </c>
      <c r="C13" s="20" t="s">
        <v>409</v>
      </c>
      <c r="D13" s="21" t="s">
        <v>410</v>
      </c>
      <c r="E13" s="22">
        <v>1</v>
      </c>
      <c r="F13" s="18" t="s">
        <v>48</v>
      </c>
      <c r="G13" s="21" t="s">
        <v>411</v>
      </c>
      <c r="H13" s="21"/>
    </row>
    <row r="14" spans="1:8" ht="30" customHeight="1">
      <c r="A14" s="14" t="s">
        <v>404</v>
      </c>
      <c r="B14" s="14" t="s">
        <v>405</v>
      </c>
      <c r="C14" s="15" t="s">
        <v>412</v>
      </c>
      <c r="D14" s="16" t="s">
        <v>413</v>
      </c>
      <c r="E14" s="23">
        <v>3</v>
      </c>
      <c r="F14" s="18" t="s">
        <v>55</v>
      </c>
      <c r="G14" s="16" t="s">
        <v>414</v>
      </c>
      <c r="H14" s="16" t="s">
        <v>415</v>
      </c>
    </row>
    <row r="15" spans="1:8" ht="18" customHeight="1">
      <c r="A15" s="13" t="s">
        <v>416</v>
      </c>
      <c r="B15" s="13" t="s">
        <v>417</v>
      </c>
      <c r="C15" s="13"/>
      <c r="D15" s="13"/>
      <c r="E15" s="13"/>
      <c r="F15" s="13"/>
      <c r="G15" s="13"/>
      <c r="H15" s="13"/>
    </row>
    <row r="16" spans="1:8" ht="30" customHeight="1">
      <c r="A16" s="14" t="s">
        <v>416</v>
      </c>
      <c r="B16" s="14" t="s">
        <v>417</v>
      </c>
      <c r="C16" s="15" t="s">
        <v>418</v>
      </c>
      <c r="D16" s="16" t="s">
        <v>419</v>
      </c>
      <c r="E16" s="17">
        <v>2</v>
      </c>
      <c r="F16" s="18" t="s">
        <v>55</v>
      </c>
      <c r="G16" s="16" t="s">
        <v>420</v>
      </c>
      <c r="H16" s="16" t="s">
        <v>399</v>
      </c>
    </row>
    <row r="17" spans="1:8" ht="30" customHeight="1">
      <c r="A17" s="19" t="s">
        <v>416</v>
      </c>
      <c r="B17" s="19" t="s">
        <v>417</v>
      </c>
      <c r="C17" s="20" t="s">
        <v>421</v>
      </c>
      <c r="D17" s="21" t="s">
        <v>422</v>
      </c>
      <c r="E17" s="17">
        <v>2</v>
      </c>
      <c r="F17" s="18" t="s">
        <v>55</v>
      </c>
      <c r="G17" s="21" t="s">
        <v>423</v>
      </c>
      <c r="H17" t="s">
        <v>57</v>
      </c>
    </row>
    <row r="18" spans="1:8" ht="30" customHeight="1">
      <c r="A18" s="14" t="s">
        <v>416</v>
      </c>
      <c r="B18" s="14" t="s">
        <v>417</v>
      </c>
      <c r="C18" s="15" t="s">
        <v>424</v>
      </c>
      <c r="D18" s="16" t="s">
        <v>425</v>
      </c>
      <c r="E18" s="17">
        <v>2</v>
      </c>
      <c r="F18" s="18" t="s">
        <v>45</v>
      </c>
      <c r="G18" s="16" t="s">
        <v>426</v>
      </c>
      <c r="H18" s="16" t="s">
        <v>427</v>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5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
  <sheetViews>
    <sheetView zoomScale="75" zoomScaleNormal="75" workbookViewId="0">
      <pane ySplit="1" topLeftCell="A5" activePane="bottomLeft" state="frozen"/>
      <selection pane="bottomLeft" activeCell="D11" sqref="D11"/>
    </sheetView>
  </sheetViews>
  <sheetFormatPr defaultColWidth="8.5703125" defaultRowHeight="14.4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c r="A1" s="12" t="s">
        <v>33</v>
      </c>
      <c r="B1" s="12" t="s">
        <v>34</v>
      </c>
      <c r="C1" s="12" t="s">
        <v>35</v>
      </c>
      <c r="D1" s="12" t="s">
        <v>36</v>
      </c>
      <c r="E1" s="12" t="s">
        <v>37</v>
      </c>
      <c r="F1" s="12" t="s">
        <v>38</v>
      </c>
      <c r="G1" s="12" t="s">
        <v>39</v>
      </c>
      <c r="H1" s="12" t="s">
        <v>40</v>
      </c>
    </row>
    <row r="2" spans="1:8" ht="18" customHeight="1">
      <c r="A2" s="13" t="s">
        <v>428</v>
      </c>
      <c r="B2" s="13" t="s">
        <v>429</v>
      </c>
      <c r="C2" s="13"/>
      <c r="D2" s="13"/>
      <c r="E2" s="13"/>
      <c r="F2" s="13"/>
      <c r="G2" s="13"/>
      <c r="H2" s="13"/>
    </row>
    <row r="3" spans="1:8" ht="30" customHeight="1">
      <c r="A3" s="14" t="s">
        <v>428</v>
      </c>
      <c r="B3" s="14" t="s">
        <v>429</v>
      </c>
      <c r="C3" s="15" t="s">
        <v>430</v>
      </c>
      <c r="D3" s="16" t="s">
        <v>431</v>
      </c>
      <c r="E3" s="22">
        <v>1</v>
      </c>
      <c r="F3" s="18" t="s">
        <v>55</v>
      </c>
      <c r="G3" s="16" t="s">
        <v>432</v>
      </c>
      <c r="H3" s="16" t="s">
        <v>433</v>
      </c>
    </row>
    <row r="4" spans="1:8" ht="30" customHeight="1">
      <c r="A4" s="19" t="s">
        <v>428</v>
      </c>
      <c r="B4" s="19" t="s">
        <v>429</v>
      </c>
      <c r="C4" s="20" t="s">
        <v>434</v>
      </c>
      <c r="D4" s="21" t="s">
        <v>435</v>
      </c>
      <c r="E4" s="17">
        <v>2</v>
      </c>
      <c r="F4" s="18" t="s">
        <v>73</v>
      </c>
      <c r="G4" s="21" t="s">
        <v>436</v>
      </c>
      <c r="H4" s="21"/>
    </row>
    <row r="5" spans="1:8" ht="30" customHeight="1">
      <c r="A5" s="14" t="s">
        <v>428</v>
      </c>
      <c r="B5" s="14" t="s">
        <v>429</v>
      </c>
      <c r="C5" s="15" t="s">
        <v>437</v>
      </c>
      <c r="D5" s="16" t="s">
        <v>438</v>
      </c>
      <c r="E5" s="17">
        <v>2</v>
      </c>
      <c r="F5" s="18" t="s">
        <v>73</v>
      </c>
      <c r="G5" s="16" t="s">
        <v>439</v>
      </c>
      <c r="H5" s="16" t="s">
        <v>226</v>
      </c>
    </row>
    <row r="6" spans="1:8" ht="18" customHeight="1">
      <c r="A6" s="13" t="s">
        <v>440</v>
      </c>
      <c r="B6" s="13" t="s">
        <v>441</v>
      </c>
      <c r="C6" s="13"/>
      <c r="D6" s="13"/>
      <c r="E6" s="13"/>
      <c r="F6" s="13"/>
      <c r="G6" s="13"/>
      <c r="H6" s="13"/>
    </row>
    <row r="7" spans="1:8" ht="30" customHeight="1">
      <c r="A7" s="14" t="s">
        <v>440</v>
      </c>
      <c r="B7" s="14" t="s">
        <v>441</v>
      </c>
      <c r="C7" s="15" t="s">
        <v>442</v>
      </c>
      <c r="D7" s="16" t="s">
        <v>443</v>
      </c>
      <c r="E7" s="22">
        <v>1</v>
      </c>
      <c r="F7" s="18" t="s">
        <v>45</v>
      </c>
      <c r="G7" s="16" t="s">
        <v>444</v>
      </c>
      <c r="H7" s="16"/>
    </row>
    <row r="8" spans="1:8" ht="30" customHeight="1">
      <c r="A8" s="19" t="s">
        <v>440</v>
      </c>
      <c r="B8" s="19" t="s">
        <v>441</v>
      </c>
      <c r="C8" s="20" t="s">
        <v>445</v>
      </c>
      <c r="D8" s="21" t="s">
        <v>446</v>
      </c>
      <c r="E8" s="22">
        <v>1</v>
      </c>
      <c r="F8" s="18" t="s">
        <v>45</v>
      </c>
      <c r="G8" s="21" t="s">
        <v>447</v>
      </c>
      <c r="H8" s="21"/>
    </row>
    <row r="9" spans="1:8" ht="30" customHeight="1">
      <c r="A9" s="14" t="s">
        <v>440</v>
      </c>
      <c r="B9" s="14" t="s">
        <v>441</v>
      </c>
      <c r="C9" s="15" t="s">
        <v>448</v>
      </c>
      <c r="D9" s="16" t="s">
        <v>449</v>
      </c>
      <c r="E9" s="22">
        <v>1</v>
      </c>
      <c r="F9" s="18" t="s">
        <v>45</v>
      </c>
      <c r="G9" s="16" t="s">
        <v>450</v>
      </c>
      <c r="H9" s="16"/>
    </row>
    <row r="10" spans="1:8" ht="30" customHeight="1">
      <c r="A10" s="19" t="s">
        <v>440</v>
      </c>
      <c r="B10" s="19" t="s">
        <v>441</v>
      </c>
      <c r="C10" s="20" t="s">
        <v>451</v>
      </c>
      <c r="D10" s="21" t="s">
        <v>452</v>
      </c>
      <c r="E10" s="22">
        <v>1</v>
      </c>
      <c r="F10" s="18" t="s">
        <v>45</v>
      </c>
      <c r="G10" s="21" t="s">
        <v>453</v>
      </c>
      <c r="H10" s="21"/>
    </row>
    <row r="11" spans="1:8" ht="30" customHeight="1">
      <c r="A11" s="14" t="s">
        <v>440</v>
      </c>
      <c r="B11" s="14" t="s">
        <v>441</v>
      </c>
      <c r="C11" s="15" t="s">
        <v>454</v>
      </c>
      <c r="D11" s="16" t="s">
        <v>455</v>
      </c>
      <c r="E11" s="22">
        <v>1</v>
      </c>
      <c r="F11" s="18" t="s">
        <v>55</v>
      </c>
      <c r="G11" s="16" t="s">
        <v>456</v>
      </c>
      <c r="H11" s="16" t="s">
        <v>226</v>
      </c>
    </row>
    <row r="12" spans="1:8" ht="30" customHeight="1">
      <c r="A12" s="19" t="s">
        <v>440</v>
      </c>
      <c r="B12" s="19" t="s">
        <v>441</v>
      </c>
      <c r="C12" s="20" t="s">
        <v>457</v>
      </c>
      <c r="D12" s="21" t="s">
        <v>458</v>
      </c>
      <c r="E12" s="22">
        <v>1</v>
      </c>
      <c r="F12" s="18" t="s">
        <v>73</v>
      </c>
      <c r="G12" s="21" t="s">
        <v>459</v>
      </c>
      <c r="H12" s="21"/>
    </row>
    <row r="13" spans="1:8" ht="30" customHeight="1">
      <c r="A13" s="14" t="s">
        <v>440</v>
      </c>
      <c r="B13" s="14" t="s">
        <v>441</v>
      </c>
      <c r="C13" s="15" t="s">
        <v>460</v>
      </c>
      <c r="D13" s="16" t="s">
        <v>461</v>
      </c>
      <c r="E13" s="22">
        <v>1</v>
      </c>
      <c r="F13" s="18" t="s">
        <v>73</v>
      </c>
      <c r="G13" s="16" t="s">
        <v>462</v>
      </c>
      <c r="H13" s="16"/>
    </row>
    <row r="14" spans="1:8" ht="30" customHeight="1">
      <c r="A14" s="19" t="s">
        <v>440</v>
      </c>
      <c r="B14" s="19" t="s">
        <v>441</v>
      </c>
      <c r="C14" s="20" t="s">
        <v>463</v>
      </c>
      <c r="D14" s="21" t="s">
        <v>464</v>
      </c>
      <c r="E14" s="22">
        <v>1</v>
      </c>
      <c r="F14" s="18" t="s">
        <v>55</v>
      </c>
      <c r="G14" s="21" t="s">
        <v>465</v>
      </c>
      <c r="H14" s="21" t="s">
        <v>226</v>
      </c>
    </row>
    <row r="15" spans="1:8" ht="30" customHeight="1">
      <c r="A15" s="14" t="s">
        <v>440</v>
      </c>
      <c r="B15" s="14" t="s">
        <v>441</v>
      </c>
      <c r="C15" s="15" t="s">
        <v>466</v>
      </c>
      <c r="D15" s="16" t="s">
        <v>467</v>
      </c>
      <c r="E15" s="17">
        <v>2</v>
      </c>
      <c r="F15" s="18" t="s">
        <v>45</v>
      </c>
      <c r="G15" s="16" t="s">
        <v>468</v>
      </c>
      <c r="H15" s="16"/>
    </row>
    <row r="16" spans="1:8" ht="30" customHeight="1">
      <c r="A16" s="19" t="s">
        <v>440</v>
      </c>
      <c r="B16" s="19" t="s">
        <v>441</v>
      </c>
      <c r="C16" s="20" t="s">
        <v>469</v>
      </c>
      <c r="D16" s="21" t="s">
        <v>470</v>
      </c>
      <c r="E16" s="17">
        <v>2</v>
      </c>
      <c r="F16" s="18" t="s">
        <v>55</v>
      </c>
      <c r="G16" s="21" t="s">
        <v>471</v>
      </c>
      <c r="H16" s="21" t="s">
        <v>226</v>
      </c>
    </row>
    <row r="17" spans="1:8" ht="30" customHeight="1">
      <c r="A17" s="14" t="s">
        <v>440</v>
      </c>
      <c r="B17" s="14" t="s">
        <v>441</v>
      </c>
      <c r="C17" s="15" t="s">
        <v>472</v>
      </c>
      <c r="D17" s="16" t="s">
        <v>473</v>
      </c>
      <c r="E17" s="17">
        <v>2</v>
      </c>
      <c r="F17" s="18" t="s">
        <v>45</v>
      </c>
      <c r="G17" s="16" t="s">
        <v>474</v>
      </c>
      <c r="H17" s="16"/>
    </row>
    <row r="18" spans="1:8" ht="30" customHeight="1">
      <c r="A18" s="19" t="s">
        <v>440</v>
      </c>
      <c r="B18" s="19" t="s">
        <v>441</v>
      </c>
      <c r="C18" s="20" t="s">
        <v>475</v>
      </c>
      <c r="D18" s="21" t="s">
        <v>476</v>
      </c>
      <c r="E18" s="17">
        <v>2</v>
      </c>
      <c r="F18" s="18" t="s">
        <v>45</v>
      </c>
      <c r="G18" s="21" t="s">
        <v>477</v>
      </c>
      <c r="H18" s="21"/>
    </row>
    <row r="19" spans="1:8" ht="18" customHeight="1">
      <c r="A19" s="13" t="s">
        <v>478</v>
      </c>
      <c r="B19" s="13" t="s">
        <v>479</v>
      </c>
      <c r="C19" s="13"/>
      <c r="D19" s="13"/>
      <c r="E19" s="13"/>
      <c r="F19" s="13"/>
      <c r="G19" s="13"/>
      <c r="H19" s="13"/>
    </row>
    <row r="20" spans="1:8" ht="30" customHeight="1">
      <c r="A20" s="14" t="s">
        <v>478</v>
      </c>
      <c r="B20" s="14" t="s">
        <v>479</v>
      </c>
      <c r="C20" s="15" t="s">
        <v>480</v>
      </c>
      <c r="D20" s="16" t="s">
        <v>481</v>
      </c>
      <c r="E20" s="22">
        <v>1</v>
      </c>
      <c r="F20" s="18" t="s">
        <v>45</v>
      </c>
      <c r="G20" s="16" t="s">
        <v>482</v>
      </c>
      <c r="H20" s="16" t="s">
        <v>202</v>
      </c>
    </row>
    <row r="21" spans="1:8" ht="30" customHeight="1">
      <c r="A21" s="19" t="s">
        <v>478</v>
      </c>
      <c r="B21" s="19" t="s">
        <v>479</v>
      </c>
      <c r="C21" s="20" t="s">
        <v>483</v>
      </c>
      <c r="D21" s="21" t="s">
        <v>484</v>
      </c>
      <c r="E21" s="22">
        <v>1</v>
      </c>
      <c r="F21" s="18" t="s">
        <v>55</v>
      </c>
      <c r="G21" s="21" t="s">
        <v>485</v>
      </c>
      <c r="H21" s="21" t="s">
        <v>226</v>
      </c>
    </row>
    <row r="22" spans="1:8" ht="30" customHeight="1">
      <c r="A22" s="14" t="s">
        <v>478</v>
      </c>
      <c r="B22" s="14" t="s">
        <v>479</v>
      </c>
      <c r="C22" s="15" t="s">
        <v>486</v>
      </c>
      <c r="D22" s="16" t="s">
        <v>487</v>
      </c>
      <c r="E22" s="17">
        <v>2</v>
      </c>
      <c r="F22" s="18" t="s">
        <v>73</v>
      </c>
      <c r="G22" s="16" t="s">
        <v>488</v>
      </c>
      <c r="H22" s="16"/>
    </row>
    <row r="23" spans="1:8" ht="30" customHeight="1">
      <c r="A23" s="19" t="s">
        <v>478</v>
      </c>
      <c r="B23" s="19" t="s">
        <v>479</v>
      </c>
      <c r="C23" s="20" t="s">
        <v>489</v>
      </c>
      <c r="D23" s="21" t="s">
        <v>490</v>
      </c>
      <c r="E23" s="17">
        <v>2</v>
      </c>
      <c r="F23" s="18" t="s">
        <v>73</v>
      </c>
      <c r="G23" s="21" t="s">
        <v>491</v>
      </c>
      <c r="H23" s="21" t="s">
        <v>226</v>
      </c>
    </row>
    <row r="24" spans="1:8" ht="30" customHeight="1">
      <c r="A24" s="14" t="s">
        <v>478</v>
      </c>
      <c r="B24" s="14" t="s">
        <v>479</v>
      </c>
      <c r="C24" s="15" t="s">
        <v>492</v>
      </c>
      <c r="D24" s="16" t="s">
        <v>493</v>
      </c>
      <c r="E24" s="23">
        <v>3</v>
      </c>
      <c r="F24" s="18" t="s">
        <v>45</v>
      </c>
      <c r="G24" s="16" t="s">
        <v>494</v>
      </c>
      <c r="H24" s="16"/>
    </row>
    <row r="25" spans="1:8" ht="30" customHeight="1">
      <c r="A25" s="19" t="s">
        <v>478</v>
      </c>
      <c r="B25" s="19" t="s">
        <v>479</v>
      </c>
      <c r="C25" s="20" t="s">
        <v>495</v>
      </c>
      <c r="D25" s="21" t="s">
        <v>496</v>
      </c>
      <c r="E25" s="23">
        <v>3</v>
      </c>
      <c r="F25" s="18" t="s">
        <v>73</v>
      </c>
      <c r="G25" s="21" t="s">
        <v>497</v>
      </c>
      <c r="H25" s="21"/>
    </row>
    <row r="26" spans="1:8" ht="30" customHeight="1">
      <c r="A26" s="14" t="s">
        <v>478</v>
      </c>
      <c r="B26" s="14" t="s">
        <v>479</v>
      </c>
      <c r="C26" s="15" t="s">
        <v>498</v>
      </c>
      <c r="D26" s="16" t="s">
        <v>499</v>
      </c>
      <c r="E26" s="23">
        <v>3</v>
      </c>
      <c r="F26" s="18" t="s">
        <v>45</v>
      </c>
      <c r="G26" s="16" t="s">
        <v>500</v>
      </c>
      <c r="H26" s="16"/>
    </row>
    <row r="27" spans="1:8" ht="30" customHeight="1">
      <c r="A27" s="19" t="s">
        <v>478</v>
      </c>
      <c r="B27" s="19" t="s">
        <v>479</v>
      </c>
      <c r="C27" s="20" t="s">
        <v>501</v>
      </c>
      <c r="D27" s="21" t="s">
        <v>502</v>
      </c>
      <c r="E27" s="23">
        <v>3</v>
      </c>
      <c r="F27" s="18" t="s">
        <v>55</v>
      </c>
      <c r="G27" s="21" t="s">
        <v>503</v>
      </c>
      <c r="H27" s="21" t="s">
        <v>226</v>
      </c>
    </row>
    <row r="28" spans="1:8" ht="18" customHeight="1">
      <c r="A28" s="13" t="s">
        <v>504</v>
      </c>
      <c r="B28" s="13" t="s">
        <v>505</v>
      </c>
      <c r="C28" s="13"/>
      <c r="D28" s="13"/>
      <c r="E28" s="13"/>
      <c r="F28" s="13"/>
      <c r="G28" s="13"/>
      <c r="H28" s="13"/>
    </row>
    <row r="29" spans="1:8" ht="30" customHeight="1">
      <c r="A29" s="14" t="s">
        <v>504</v>
      </c>
      <c r="B29" s="14" t="s">
        <v>505</v>
      </c>
      <c r="C29" s="15" t="s">
        <v>506</v>
      </c>
      <c r="D29" s="16" t="s">
        <v>507</v>
      </c>
      <c r="E29" s="22">
        <v>1</v>
      </c>
      <c r="F29" s="18" t="s">
        <v>73</v>
      </c>
      <c r="G29" s="16" t="s">
        <v>508</v>
      </c>
      <c r="H29" s="16"/>
    </row>
    <row r="30" spans="1:8" ht="30" customHeight="1">
      <c r="A30" s="19" t="s">
        <v>504</v>
      </c>
      <c r="B30" s="19" t="s">
        <v>505</v>
      </c>
      <c r="C30" s="20" t="s">
        <v>509</v>
      </c>
      <c r="D30" s="21" t="s">
        <v>510</v>
      </c>
      <c r="E30" s="22">
        <v>1</v>
      </c>
      <c r="F30" s="18" t="s">
        <v>73</v>
      </c>
      <c r="G30" s="21" t="s">
        <v>511</v>
      </c>
      <c r="H30" s="21"/>
    </row>
    <row r="31" spans="1:8" ht="30" customHeight="1">
      <c r="A31" s="14" t="s">
        <v>504</v>
      </c>
      <c r="B31" s="14" t="s">
        <v>505</v>
      </c>
      <c r="C31" s="15" t="s">
        <v>512</v>
      </c>
      <c r="D31" s="16" t="s">
        <v>513</v>
      </c>
      <c r="E31" s="17">
        <v>2</v>
      </c>
      <c r="F31" s="18" t="s">
        <v>45</v>
      </c>
      <c r="G31" s="16" t="s">
        <v>514</v>
      </c>
      <c r="H31" s="16"/>
    </row>
    <row r="32" spans="1:8" ht="30" customHeight="1">
      <c r="A32" s="19" t="s">
        <v>504</v>
      </c>
      <c r="B32" s="19" t="s">
        <v>505</v>
      </c>
      <c r="C32" s="20" t="s">
        <v>515</v>
      </c>
      <c r="D32" s="21" t="s">
        <v>516</v>
      </c>
      <c r="E32" s="17">
        <v>2</v>
      </c>
      <c r="F32" s="18" t="s">
        <v>73</v>
      </c>
      <c r="G32" s="21" t="s">
        <v>517</v>
      </c>
      <c r="H32" s="21"/>
    </row>
    <row r="33" spans="1:8" ht="30" customHeight="1">
      <c r="A33" s="14" t="s">
        <v>504</v>
      </c>
      <c r="B33" s="14" t="s">
        <v>505</v>
      </c>
      <c r="C33" s="15" t="s">
        <v>518</v>
      </c>
      <c r="D33" s="16" t="s">
        <v>519</v>
      </c>
      <c r="E33" s="23">
        <v>3</v>
      </c>
      <c r="F33" s="18" t="s">
        <v>73</v>
      </c>
      <c r="G33" s="16" t="s">
        <v>520</v>
      </c>
      <c r="H33" s="16"/>
    </row>
    <row r="34" spans="1:8" ht="30" customHeight="1">
      <c r="A34" s="19" t="s">
        <v>504</v>
      </c>
      <c r="B34" s="19" t="s">
        <v>505</v>
      </c>
      <c r="C34" s="20" t="s">
        <v>521</v>
      </c>
      <c r="D34" s="21" t="s">
        <v>522</v>
      </c>
      <c r="E34" s="23">
        <v>3</v>
      </c>
      <c r="F34" s="18" t="s">
        <v>73</v>
      </c>
      <c r="G34" s="21" t="s">
        <v>523</v>
      </c>
      <c r="H34" s="21"/>
    </row>
    <row r="35" spans="1:8" ht="18" customHeight="1">
      <c r="A35" s="13" t="s">
        <v>524</v>
      </c>
      <c r="B35" s="13" t="s">
        <v>525</v>
      </c>
      <c r="C35" s="13"/>
      <c r="D35" s="13"/>
      <c r="E35" s="13"/>
      <c r="F35" s="13"/>
      <c r="G35" s="13"/>
      <c r="H35" s="13"/>
    </row>
    <row r="36" spans="1:8" ht="30" customHeight="1">
      <c r="A36" s="14" t="s">
        <v>524</v>
      </c>
      <c r="B36" s="14" t="s">
        <v>525</v>
      </c>
      <c r="C36" s="15" t="s">
        <v>526</v>
      </c>
      <c r="D36" s="16" t="s">
        <v>527</v>
      </c>
      <c r="E36" s="17">
        <v>2</v>
      </c>
      <c r="F36" s="18" t="s">
        <v>73</v>
      </c>
      <c r="G36" s="16" t="s">
        <v>528</v>
      </c>
      <c r="H36" s="16"/>
    </row>
    <row r="37" spans="1:8" ht="30" customHeight="1">
      <c r="A37" s="19" t="s">
        <v>524</v>
      </c>
      <c r="B37" s="19" t="s">
        <v>525</v>
      </c>
      <c r="C37" s="20" t="s">
        <v>529</v>
      </c>
      <c r="D37" s="21" t="s">
        <v>530</v>
      </c>
      <c r="E37" s="17">
        <v>2</v>
      </c>
      <c r="F37" s="18" t="s">
        <v>73</v>
      </c>
      <c r="G37" s="16" t="s">
        <v>528</v>
      </c>
      <c r="H37" s="21"/>
    </row>
    <row r="38" spans="1:8" ht="30" customHeight="1">
      <c r="A38" s="14" t="s">
        <v>524</v>
      </c>
      <c r="B38" s="14" t="s">
        <v>525</v>
      </c>
      <c r="C38" s="15" t="s">
        <v>531</v>
      </c>
      <c r="D38" s="16" t="s">
        <v>532</v>
      </c>
      <c r="E38" s="17">
        <v>2</v>
      </c>
      <c r="F38" s="18" t="s">
        <v>73</v>
      </c>
      <c r="G38" s="16" t="s">
        <v>528</v>
      </c>
      <c r="H38" s="16"/>
    </row>
    <row r="39" spans="1:8" ht="30" customHeight="1">
      <c r="A39" s="19" t="s">
        <v>524</v>
      </c>
      <c r="B39" s="19" t="s">
        <v>525</v>
      </c>
      <c r="C39" s="20" t="s">
        <v>533</v>
      </c>
      <c r="D39" s="21" t="s">
        <v>534</v>
      </c>
      <c r="E39" s="17">
        <v>2</v>
      </c>
      <c r="F39" s="18" t="s">
        <v>73</v>
      </c>
      <c r="G39" s="16" t="s">
        <v>528</v>
      </c>
      <c r="H39" s="21"/>
    </row>
    <row r="40" spans="1:8" ht="30" customHeight="1">
      <c r="A40" s="14" t="s">
        <v>524</v>
      </c>
      <c r="B40" s="14" t="s">
        <v>525</v>
      </c>
      <c r="C40" s="15" t="s">
        <v>535</v>
      </c>
      <c r="D40" s="16" t="s">
        <v>536</v>
      </c>
      <c r="E40" s="17">
        <v>2</v>
      </c>
      <c r="F40" s="18" t="s">
        <v>73</v>
      </c>
      <c r="G40" s="16" t="s">
        <v>528</v>
      </c>
      <c r="H40" s="16"/>
    </row>
    <row r="41" spans="1:8" ht="30" customHeight="1">
      <c r="A41" s="19" t="s">
        <v>524</v>
      </c>
      <c r="B41" s="19" t="s">
        <v>525</v>
      </c>
      <c r="C41" s="20" t="s">
        <v>537</v>
      </c>
      <c r="D41" s="21" t="s">
        <v>538</v>
      </c>
      <c r="E41" s="23">
        <v>3</v>
      </c>
      <c r="F41" s="18" t="s">
        <v>73</v>
      </c>
      <c r="G41" s="16" t="s">
        <v>528</v>
      </c>
      <c r="H41" s="21"/>
    </row>
    <row r="42" spans="1:8" ht="30" customHeight="1">
      <c r="A42" s="14" t="s">
        <v>524</v>
      </c>
      <c r="B42" s="14" t="s">
        <v>525</v>
      </c>
      <c r="C42" s="15" t="s">
        <v>539</v>
      </c>
      <c r="D42" s="16" t="s">
        <v>540</v>
      </c>
      <c r="E42" s="23">
        <v>3</v>
      </c>
      <c r="F42" s="18" t="s">
        <v>73</v>
      </c>
      <c r="G42" s="16" t="s">
        <v>528</v>
      </c>
      <c r="H42" s="16"/>
    </row>
    <row r="43" spans="1:8" ht="30" customHeight="1">
      <c r="A43" s="19" t="s">
        <v>524</v>
      </c>
      <c r="B43" s="19" t="s">
        <v>525</v>
      </c>
      <c r="C43" s="20" t="s">
        <v>541</v>
      </c>
      <c r="D43" s="21" t="s">
        <v>542</v>
      </c>
      <c r="E43" s="23">
        <v>3</v>
      </c>
      <c r="F43" s="18" t="s">
        <v>73</v>
      </c>
      <c r="G43" s="16" t="s">
        <v>528</v>
      </c>
      <c r="H43" s="21"/>
    </row>
    <row r="44" spans="1:8" ht="18" customHeight="1">
      <c r="A44" s="13" t="s">
        <v>543</v>
      </c>
      <c r="B44" s="13" t="s">
        <v>544</v>
      </c>
      <c r="C44" s="13"/>
      <c r="D44" s="13"/>
      <c r="E44" s="13"/>
      <c r="F44" s="13"/>
      <c r="G44" s="13"/>
      <c r="H44" s="13"/>
    </row>
    <row r="45" spans="1:8" ht="30" customHeight="1">
      <c r="A45" s="14" t="s">
        <v>543</v>
      </c>
      <c r="B45" s="14" t="s">
        <v>544</v>
      </c>
      <c r="C45" s="15" t="s">
        <v>545</v>
      </c>
      <c r="D45" s="16" t="s">
        <v>546</v>
      </c>
      <c r="E45" s="17">
        <v>2</v>
      </c>
      <c r="F45" s="18" t="s">
        <v>73</v>
      </c>
      <c r="G45" s="16" t="s">
        <v>547</v>
      </c>
      <c r="H45" s="16"/>
    </row>
    <row r="46" spans="1:8" ht="30" customHeight="1">
      <c r="A46" s="19" t="s">
        <v>543</v>
      </c>
      <c r="B46" s="19" t="s">
        <v>544</v>
      </c>
      <c r="C46" s="20" t="s">
        <v>548</v>
      </c>
      <c r="D46" s="21" t="s">
        <v>549</v>
      </c>
      <c r="E46" s="17">
        <v>2</v>
      </c>
      <c r="F46" s="18" t="s">
        <v>73</v>
      </c>
      <c r="G46" s="16" t="s">
        <v>547</v>
      </c>
      <c r="H46" s="21"/>
    </row>
    <row r="47" spans="1:8" ht="30" customHeight="1">
      <c r="A47" s="14" t="s">
        <v>543</v>
      </c>
      <c r="B47" s="14" t="s">
        <v>544</v>
      </c>
      <c r="C47" s="15" t="s">
        <v>550</v>
      </c>
      <c r="D47" s="16" t="s">
        <v>551</v>
      </c>
      <c r="E47" s="17">
        <v>2</v>
      </c>
      <c r="F47" s="18" t="s">
        <v>73</v>
      </c>
      <c r="G47" s="16" t="s">
        <v>547</v>
      </c>
      <c r="H47" s="16"/>
    </row>
    <row r="48" spans="1:8" ht="30" customHeight="1">
      <c r="A48" s="19" t="s">
        <v>543</v>
      </c>
      <c r="B48" s="19" t="s">
        <v>544</v>
      </c>
      <c r="C48" s="20" t="s">
        <v>552</v>
      </c>
      <c r="D48" s="21" t="s">
        <v>553</v>
      </c>
      <c r="E48" s="23">
        <v>3</v>
      </c>
      <c r="F48" s="18" t="s">
        <v>73</v>
      </c>
      <c r="G48" s="16" t="s">
        <v>547</v>
      </c>
      <c r="H48" s="21"/>
    </row>
    <row r="49" spans="1:8" ht="18" customHeight="1">
      <c r="A49" s="13" t="s">
        <v>554</v>
      </c>
      <c r="B49" s="13" t="s">
        <v>555</v>
      </c>
      <c r="C49" s="13"/>
      <c r="D49" s="13"/>
      <c r="E49" s="13"/>
      <c r="F49" s="13"/>
      <c r="G49" s="13"/>
      <c r="H49" s="13"/>
    </row>
    <row r="50" spans="1:8" ht="30" customHeight="1">
      <c r="A50" s="14" t="s">
        <v>554</v>
      </c>
      <c r="B50" s="14" t="s">
        <v>555</v>
      </c>
      <c r="C50" s="15" t="s">
        <v>556</v>
      </c>
      <c r="D50" s="16" t="s">
        <v>557</v>
      </c>
      <c r="E50" s="23">
        <v>3</v>
      </c>
      <c r="F50" s="18" t="s">
        <v>55</v>
      </c>
      <c r="G50" s="16" t="s">
        <v>558</v>
      </c>
      <c r="H50" s="16" t="s">
        <v>226</v>
      </c>
    </row>
    <row r="51" spans="1:8" ht="30" customHeight="1">
      <c r="A51" s="19" t="s">
        <v>554</v>
      </c>
      <c r="B51" s="19" t="s">
        <v>555</v>
      </c>
      <c r="C51" s="20" t="s">
        <v>559</v>
      </c>
      <c r="D51" s="21" t="s">
        <v>560</v>
      </c>
      <c r="E51" s="23">
        <v>3</v>
      </c>
      <c r="F51" s="18" t="s">
        <v>73</v>
      </c>
      <c r="G51" s="21" t="s">
        <v>561</v>
      </c>
      <c r="H51" s="21"/>
    </row>
    <row r="52" spans="1:8" ht="18" customHeight="1">
      <c r="A52" s="13" t="s">
        <v>562</v>
      </c>
      <c r="B52" s="13" t="s">
        <v>563</v>
      </c>
      <c r="C52" s="13"/>
      <c r="D52" s="13"/>
      <c r="E52" s="13"/>
      <c r="F52" s="13"/>
      <c r="G52" s="13"/>
      <c r="H52" s="13"/>
    </row>
    <row r="53" spans="1:8" ht="30" customHeight="1">
      <c r="A53" s="14" t="s">
        <v>562</v>
      </c>
      <c r="B53" s="14" t="s">
        <v>563</v>
      </c>
      <c r="C53" s="15" t="s">
        <v>564</v>
      </c>
      <c r="D53" s="16" t="s">
        <v>565</v>
      </c>
      <c r="E53" s="17">
        <v>2</v>
      </c>
      <c r="F53" s="18" t="s">
        <v>73</v>
      </c>
      <c r="G53" s="16" t="s">
        <v>566</v>
      </c>
      <c r="H53" s="16"/>
    </row>
    <row r="54" spans="1:8" ht="30" customHeight="1">
      <c r="A54" s="19" t="s">
        <v>562</v>
      </c>
      <c r="B54" s="19" t="s">
        <v>563</v>
      </c>
      <c r="C54" s="20" t="s">
        <v>567</v>
      </c>
      <c r="D54" s="21" t="s">
        <v>568</v>
      </c>
      <c r="E54" s="17">
        <v>2</v>
      </c>
      <c r="F54" s="18" t="s">
        <v>73</v>
      </c>
      <c r="G54" s="16" t="s">
        <v>566</v>
      </c>
      <c r="H54" s="21"/>
    </row>
    <row r="55" spans="1:8" ht="30" customHeight="1">
      <c r="A55" s="14" t="s">
        <v>562</v>
      </c>
      <c r="B55" s="14" t="s">
        <v>563</v>
      </c>
      <c r="C55" s="15" t="s">
        <v>569</v>
      </c>
      <c r="D55" s="16" t="s">
        <v>570</v>
      </c>
      <c r="E55" s="17">
        <v>2</v>
      </c>
      <c r="F55" s="18" t="s">
        <v>73</v>
      </c>
      <c r="G55" s="16" t="s">
        <v>566</v>
      </c>
      <c r="H55" s="16"/>
    </row>
    <row r="56" spans="1:8" ht="30" customHeight="1">
      <c r="A56" s="19" t="s">
        <v>562</v>
      </c>
      <c r="B56" s="19" t="s">
        <v>563</v>
      </c>
      <c r="C56" s="20" t="s">
        <v>571</v>
      </c>
      <c r="D56" s="21" t="s">
        <v>572</v>
      </c>
      <c r="E56" s="17">
        <v>2</v>
      </c>
      <c r="F56" s="18" t="s">
        <v>73</v>
      </c>
      <c r="G56" s="16" t="s">
        <v>566</v>
      </c>
      <c r="H56" s="21"/>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56" xr:uid="{00000000-0002-0000-06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6"/>
  <sheetViews>
    <sheetView zoomScale="75" zoomScaleNormal="75" workbookViewId="0">
      <pane ySplit="1" topLeftCell="A2" activePane="bottomLeft" state="frozen"/>
      <selection pane="bottomLeft" activeCell="F26" sqref="F26"/>
    </sheetView>
  </sheetViews>
  <sheetFormatPr defaultColWidth="8.5703125" defaultRowHeight="14.4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c r="A1" s="12" t="s">
        <v>33</v>
      </c>
      <c r="B1" s="12" t="s">
        <v>34</v>
      </c>
      <c r="C1" s="12" t="s">
        <v>35</v>
      </c>
      <c r="D1" s="12" t="s">
        <v>36</v>
      </c>
      <c r="E1" s="12" t="s">
        <v>37</v>
      </c>
      <c r="F1" s="12" t="s">
        <v>38</v>
      </c>
      <c r="G1" s="12" t="s">
        <v>39</v>
      </c>
      <c r="H1" s="12" t="s">
        <v>40</v>
      </c>
    </row>
    <row r="2" spans="1:8" ht="18" customHeight="1">
      <c r="A2" s="13" t="s">
        <v>573</v>
      </c>
      <c r="B2" s="13" t="s">
        <v>574</v>
      </c>
      <c r="C2" s="13"/>
      <c r="D2" s="13"/>
      <c r="E2" s="13"/>
      <c r="F2" s="13"/>
      <c r="G2" s="13"/>
      <c r="H2" s="13"/>
    </row>
    <row r="3" spans="1:8" ht="30" customHeight="1">
      <c r="A3" s="14" t="s">
        <v>573</v>
      </c>
      <c r="B3" s="14" t="s">
        <v>574</v>
      </c>
      <c r="C3" s="15" t="s">
        <v>575</v>
      </c>
      <c r="D3" s="16" t="s">
        <v>576</v>
      </c>
      <c r="E3" s="17">
        <v>2</v>
      </c>
      <c r="F3" s="18" t="s">
        <v>48</v>
      </c>
      <c r="G3" s="16"/>
      <c r="H3" s="16" t="s">
        <v>577</v>
      </c>
    </row>
    <row r="4" spans="1:8" ht="30" customHeight="1">
      <c r="A4" s="19" t="s">
        <v>573</v>
      </c>
      <c r="B4" s="19" t="s">
        <v>574</v>
      </c>
      <c r="C4" s="20" t="s">
        <v>578</v>
      </c>
      <c r="D4" s="21" t="s">
        <v>579</v>
      </c>
      <c r="E4" s="17">
        <v>2</v>
      </c>
      <c r="F4" s="18" t="s">
        <v>48</v>
      </c>
      <c r="G4" s="21"/>
      <c r="H4" s="21" t="s">
        <v>580</v>
      </c>
    </row>
    <row r="5" spans="1:8" ht="30" customHeight="1">
      <c r="A5" s="14" t="s">
        <v>573</v>
      </c>
      <c r="B5" s="14" t="s">
        <v>574</v>
      </c>
      <c r="C5" s="15" t="s">
        <v>581</v>
      </c>
      <c r="D5" s="16" t="s">
        <v>582</v>
      </c>
      <c r="E5" s="17">
        <v>2</v>
      </c>
      <c r="F5" s="18" t="s">
        <v>73</v>
      </c>
      <c r="G5" s="16"/>
      <c r="H5" s="16"/>
    </row>
    <row r="6" spans="1:8" ht="18" customHeight="1">
      <c r="A6" s="13" t="s">
        <v>583</v>
      </c>
      <c r="B6" s="13" t="s">
        <v>584</v>
      </c>
      <c r="C6" s="13"/>
      <c r="D6" s="13"/>
      <c r="E6" s="13"/>
      <c r="F6" s="13"/>
      <c r="G6" s="13"/>
      <c r="H6" s="13"/>
    </row>
    <row r="7" spans="1:8" ht="30" customHeight="1">
      <c r="A7" s="14" t="s">
        <v>583</v>
      </c>
      <c r="B7" s="14" t="s">
        <v>584</v>
      </c>
      <c r="C7" s="15" t="s">
        <v>585</v>
      </c>
      <c r="D7" s="16" t="s">
        <v>586</v>
      </c>
      <c r="E7" s="22">
        <v>1</v>
      </c>
      <c r="F7" s="18" t="s">
        <v>48</v>
      </c>
      <c r="G7" s="16" t="s">
        <v>587</v>
      </c>
      <c r="H7" s="16" t="s">
        <v>588</v>
      </c>
    </row>
    <row r="8" spans="1:8" ht="30" customHeight="1">
      <c r="A8" s="19" t="s">
        <v>583</v>
      </c>
      <c r="B8" s="19" t="s">
        <v>584</v>
      </c>
      <c r="C8" s="20" t="s">
        <v>589</v>
      </c>
      <c r="D8" s="21" t="s">
        <v>590</v>
      </c>
      <c r="E8" s="22">
        <v>1</v>
      </c>
      <c r="F8" s="18" t="s">
        <v>48</v>
      </c>
      <c r="G8" s="21" t="s">
        <v>591</v>
      </c>
      <c r="H8" s="21" t="s">
        <v>592</v>
      </c>
    </row>
    <row r="9" spans="1:8" ht="30" customHeight="1">
      <c r="A9" s="14" t="s">
        <v>583</v>
      </c>
      <c r="B9" s="14" t="s">
        <v>584</v>
      </c>
      <c r="C9" s="15" t="s">
        <v>593</v>
      </c>
      <c r="D9" s="16" t="s">
        <v>594</v>
      </c>
      <c r="E9" s="22">
        <v>1</v>
      </c>
      <c r="F9" s="18" t="s">
        <v>73</v>
      </c>
      <c r="G9" s="16" t="s">
        <v>595</v>
      </c>
      <c r="H9" s="16"/>
    </row>
    <row r="10" spans="1:8" ht="30" customHeight="1">
      <c r="A10" s="19" t="s">
        <v>583</v>
      </c>
      <c r="B10" s="19" t="s">
        <v>584</v>
      </c>
      <c r="C10" s="20" t="s">
        <v>596</v>
      </c>
      <c r="D10" s="21" t="s">
        <v>597</v>
      </c>
      <c r="E10" s="22">
        <v>1</v>
      </c>
      <c r="F10" s="18" t="s">
        <v>55</v>
      </c>
      <c r="G10" s="21" t="s">
        <v>598</v>
      </c>
      <c r="H10" s="21"/>
    </row>
    <row r="11" spans="1:8" ht="18" customHeight="1">
      <c r="A11" s="13" t="s">
        <v>599</v>
      </c>
      <c r="B11" s="13" t="s">
        <v>600</v>
      </c>
      <c r="C11" s="13"/>
      <c r="D11" s="13"/>
      <c r="E11" s="13"/>
      <c r="F11" s="13"/>
      <c r="G11" s="13"/>
      <c r="H11" s="13"/>
    </row>
    <row r="12" spans="1:8" ht="30" customHeight="1">
      <c r="A12" s="14" t="s">
        <v>599</v>
      </c>
      <c r="B12" s="14" t="s">
        <v>600</v>
      </c>
      <c r="C12" s="15" t="s">
        <v>601</v>
      </c>
      <c r="D12" s="16" t="s">
        <v>602</v>
      </c>
      <c r="E12" s="17">
        <v>2</v>
      </c>
      <c r="F12" s="18" t="s">
        <v>45</v>
      </c>
      <c r="G12" s="16"/>
      <c r="H12" s="16"/>
    </row>
    <row r="13" spans="1:8" ht="30" customHeight="1">
      <c r="A13" s="19" t="s">
        <v>599</v>
      </c>
      <c r="B13" s="19" t="s">
        <v>600</v>
      </c>
      <c r="C13" s="20" t="s">
        <v>603</v>
      </c>
      <c r="D13" s="21" t="s">
        <v>604</v>
      </c>
      <c r="E13" s="17">
        <v>2</v>
      </c>
      <c r="F13" s="18" t="s">
        <v>48</v>
      </c>
      <c r="G13" s="21" t="s">
        <v>605</v>
      </c>
      <c r="H13" s="21" t="s">
        <v>592</v>
      </c>
    </row>
    <row r="14" spans="1:8" ht="18" customHeight="1">
      <c r="A14" s="13" t="s">
        <v>606</v>
      </c>
      <c r="B14" s="13" t="s">
        <v>607</v>
      </c>
      <c r="C14" s="13"/>
      <c r="D14" s="13"/>
      <c r="E14" s="13"/>
      <c r="F14" s="13"/>
      <c r="G14" s="13"/>
      <c r="H14" s="13"/>
    </row>
    <row r="15" spans="1:8" ht="30" customHeight="1">
      <c r="A15" s="14" t="s">
        <v>606</v>
      </c>
      <c r="B15" s="14" t="s">
        <v>607</v>
      </c>
      <c r="C15" s="15" t="s">
        <v>608</v>
      </c>
      <c r="D15" s="16" t="s">
        <v>609</v>
      </c>
      <c r="E15" s="22">
        <v>1</v>
      </c>
      <c r="F15" s="18" t="s">
        <v>55</v>
      </c>
      <c r="G15" s="16"/>
      <c r="H15" s="16"/>
    </row>
    <row r="16" spans="1:8" ht="30" customHeight="1">
      <c r="A16" s="19" t="s">
        <v>606</v>
      </c>
      <c r="B16" s="19" t="s">
        <v>607</v>
      </c>
      <c r="C16" s="20" t="s">
        <v>610</v>
      </c>
      <c r="D16" s="21" t="s">
        <v>611</v>
      </c>
      <c r="E16" s="22">
        <v>1</v>
      </c>
      <c r="F16" s="18" t="s">
        <v>73</v>
      </c>
      <c r="G16" s="21" t="s">
        <v>612</v>
      </c>
      <c r="H16" s="21"/>
    </row>
    <row r="17" spans="1:8" ht="30" customHeight="1">
      <c r="A17" s="14" t="s">
        <v>606</v>
      </c>
      <c r="B17" s="14" t="s">
        <v>607</v>
      </c>
      <c r="C17" s="15" t="s">
        <v>613</v>
      </c>
      <c r="D17" s="16" t="s">
        <v>614</v>
      </c>
      <c r="E17" s="17">
        <v>2</v>
      </c>
      <c r="F17" s="18" t="s">
        <v>73</v>
      </c>
      <c r="G17" s="16"/>
      <c r="H17" s="16"/>
    </row>
    <row r="18" spans="1:8" ht="30" customHeight="1">
      <c r="A18" s="19" t="s">
        <v>606</v>
      </c>
      <c r="B18" s="19" t="s">
        <v>607</v>
      </c>
      <c r="C18" s="20" t="s">
        <v>615</v>
      </c>
      <c r="D18" s="21" t="s">
        <v>616</v>
      </c>
      <c r="E18" s="17">
        <v>2</v>
      </c>
      <c r="F18" s="18" t="s">
        <v>73</v>
      </c>
      <c r="G18" s="21"/>
      <c r="H18" s="21"/>
    </row>
    <row r="19" spans="1:8" ht="30" customHeight="1">
      <c r="A19" s="14" t="s">
        <v>606</v>
      </c>
      <c r="B19" s="14" t="s">
        <v>607</v>
      </c>
      <c r="C19" s="15" t="s">
        <v>617</v>
      </c>
      <c r="D19" s="16" t="s">
        <v>618</v>
      </c>
      <c r="E19" s="17">
        <v>2</v>
      </c>
      <c r="F19" s="18" t="s">
        <v>45</v>
      </c>
      <c r="G19" s="16"/>
      <c r="H19" s="16"/>
    </row>
    <row r="20" spans="1:8" ht="18" customHeight="1">
      <c r="A20" s="13" t="s">
        <v>619</v>
      </c>
      <c r="B20" s="13" t="s">
        <v>620</v>
      </c>
      <c r="C20" s="13"/>
      <c r="D20" s="13"/>
      <c r="E20" s="13"/>
      <c r="F20" s="13"/>
      <c r="G20" s="13"/>
      <c r="H20" s="13"/>
    </row>
    <row r="21" spans="1:8" ht="30" customHeight="1">
      <c r="A21" s="14" t="s">
        <v>619</v>
      </c>
      <c r="B21" s="14" t="s">
        <v>620</v>
      </c>
      <c r="C21" s="15" t="s">
        <v>621</v>
      </c>
      <c r="D21" s="16" t="s">
        <v>622</v>
      </c>
      <c r="E21" s="17">
        <v>2</v>
      </c>
      <c r="F21" s="18" t="s">
        <v>45</v>
      </c>
      <c r="G21" s="16"/>
      <c r="H21" s="16"/>
    </row>
    <row r="22" spans="1:8" ht="30" customHeight="1">
      <c r="A22" s="19" t="s">
        <v>619</v>
      </c>
      <c r="B22" s="19" t="s">
        <v>620</v>
      </c>
      <c r="C22" s="20" t="s">
        <v>623</v>
      </c>
      <c r="D22" s="21" t="s">
        <v>624</v>
      </c>
      <c r="E22" s="17">
        <v>2</v>
      </c>
      <c r="F22" s="18" t="s">
        <v>45</v>
      </c>
      <c r="G22" s="21"/>
      <c r="H22" s="21"/>
    </row>
    <row r="23" spans="1:8" ht="30" customHeight="1">
      <c r="A23" s="14" t="s">
        <v>619</v>
      </c>
      <c r="B23" s="14" t="s">
        <v>620</v>
      </c>
      <c r="C23" s="15" t="s">
        <v>625</v>
      </c>
      <c r="D23" s="16" t="s">
        <v>626</v>
      </c>
      <c r="E23" s="23">
        <v>3</v>
      </c>
      <c r="F23" s="18" t="s">
        <v>45</v>
      </c>
      <c r="G23" s="16"/>
      <c r="H23" s="16"/>
    </row>
    <row r="24" spans="1:8" ht="18" customHeight="1">
      <c r="A24" s="13" t="s">
        <v>627</v>
      </c>
      <c r="B24" s="13" t="s">
        <v>628</v>
      </c>
      <c r="C24" s="13"/>
      <c r="D24" s="13"/>
      <c r="E24" s="13"/>
      <c r="F24" s="13"/>
      <c r="G24" s="13"/>
      <c r="H24" s="13"/>
    </row>
    <row r="25" spans="1:8" ht="30" customHeight="1">
      <c r="A25" s="14" t="s">
        <v>627</v>
      </c>
      <c r="B25" s="14" t="s">
        <v>628</v>
      </c>
      <c r="C25" s="15" t="s">
        <v>629</v>
      </c>
      <c r="D25" s="16" t="s">
        <v>630</v>
      </c>
      <c r="E25" s="17">
        <v>2</v>
      </c>
      <c r="F25" s="18" t="s">
        <v>45</v>
      </c>
      <c r="G25" s="16"/>
      <c r="H25" s="16"/>
    </row>
    <row r="26" spans="1:8" ht="30" customHeight="1">
      <c r="A26" s="19" t="s">
        <v>627</v>
      </c>
      <c r="B26" s="19" t="s">
        <v>628</v>
      </c>
      <c r="C26" s="20" t="s">
        <v>631</v>
      </c>
      <c r="D26" s="21" t="s">
        <v>632</v>
      </c>
      <c r="E26" s="17">
        <v>2</v>
      </c>
      <c r="F26" s="18" t="s">
        <v>45</v>
      </c>
      <c r="G26" s="21"/>
      <c r="H26" s="21"/>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7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zoomScale="75" zoomScaleNormal="75" workbookViewId="0">
      <pane ySplit="1" topLeftCell="A5" activePane="bottomLeft" state="frozen"/>
      <selection pane="bottomLeft" activeCell="D18" sqref="D18"/>
    </sheetView>
  </sheetViews>
  <sheetFormatPr defaultColWidth="8.5703125" defaultRowHeight="14.4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c r="A1" s="12" t="s">
        <v>33</v>
      </c>
      <c r="B1" s="12" t="s">
        <v>34</v>
      </c>
      <c r="C1" s="12" t="s">
        <v>35</v>
      </c>
      <c r="D1" s="12" t="s">
        <v>36</v>
      </c>
      <c r="E1" s="12" t="s">
        <v>37</v>
      </c>
      <c r="F1" s="12" t="s">
        <v>38</v>
      </c>
      <c r="G1" s="12" t="s">
        <v>39</v>
      </c>
      <c r="H1" s="12" t="s">
        <v>40</v>
      </c>
    </row>
    <row r="2" spans="1:8" ht="18" customHeight="1">
      <c r="A2" s="13" t="s">
        <v>633</v>
      </c>
      <c r="B2" s="13" t="s">
        <v>634</v>
      </c>
      <c r="C2" s="13"/>
      <c r="D2" s="13"/>
      <c r="E2" s="13"/>
      <c r="F2" s="13"/>
      <c r="G2" s="13"/>
      <c r="H2" s="13"/>
    </row>
    <row r="3" spans="1:8" ht="30" customHeight="1">
      <c r="A3" s="14" t="s">
        <v>633</v>
      </c>
      <c r="B3" s="14" t="s">
        <v>634</v>
      </c>
      <c r="C3" s="15" t="s">
        <v>635</v>
      </c>
      <c r="D3" s="16" t="s">
        <v>636</v>
      </c>
      <c r="E3" s="22">
        <v>1</v>
      </c>
      <c r="F3" s="18" t="s">
        <v>48</v>
      </c>
      <c r="G3" s="16" t="s">
        <v>637</v>
      </c>
      <c r="H3" s="16" t="s">
        <v>638</v>
      </c>
    </row>
    <row r="4" spans="1:8" ht="30" customHeight="1">
      <c r="A4" s="19" t="s">
        <v>633</v>
      </c>
      <c r="B4" s="19" t="s">
        <v>634</v>
      </c>
      <c r="C4" s="20" t="s">
        <v>639</v>
      </c>
      <c r="D4" s="21" t="s">
        <v>640</v>
      </c>
      <c r="E4" s="17">
        <v>2</v>
      </c>
      <c r="F4" s="18" t="s">
        <v>48</v>
      </c>
      <c r="G4" s="21" t="s">
        <v>641</v>
      </c>
      <c r="H4" s="21" t="s">
        <v>642</v>
      </c>
    </row>
    <row r="5" spans="1:8" ht="30" customHeight="1">
      <c r="A5" s="14" t="s">
        <v>633</v>
      </c>
      <c r="B5" s="14" t="s">
        <v>634</v>
      </c>
      <c r="C5" s="15" t="s">
        <v>643</v>
      </c>
      <c r="D5" s="16" t="s">
        <v>644</v>
      </c>
      <c r="E5" s="23">
        <v>3</v>
      </c>
      <c r="F5" s="18" t="s">
        <v>73</v>
      </c>
      <c r="G5" s="16"/>
      <c r="H5" s="16"/>
    </row>
    <row r="6" spans="1:8" ht="30" customHeight="1">
      <c r="A6" s="19" t="s">
        <v>633</v>
      </c>
      <c r="B6" s="19" t="s">
        <v>634</v>
      </c>
      <c r="C6" s="20" t="s">
        <v>645</v>
      </c>
      <c r="D6" s="21" t="s">
        <v>646</v>
      </c>
      <c r="E6" s="23">
        <v>3</v>
      </c>
      <c r="F6" s="18" t="s">
        <v>48</v>
      </c>
      <c r="G6" s="21" t="s">
        <v>647</v>
      </c>
      <c r="H6" s="21"/>
    </row>
    <row r="7" spans="1:8" ht="18" customHeight="1">
      <c r="A7" s="13" t="s">
        <v>648</v>
      </c>
      <c r="B7" s="13" t="s">
        <v>649</v>
      </c>
      <c r="C7" s="13"/>
      <c r="D7" s="13"/>
      <c r="E7" s="13"/>
      <c r="F7" s="13"/>
      <c r="G7" s="13"/>
      <c r="H7" s="13"/>
    </row>
    <row r="8" spans="1:8" ht="30" customHeight="1">
      <c r="A8" s="14" t="s">
        <v>648</v>
      </c>
      <c r="B8" s="14" t="s">
        <v>649</v>
      </c>
      <c r="C8" s="15" t="s">
        <v>650</v>
      </c>
      <c r="D8" s="16" t="s">
        <v>651</v>
      </c>
      <c r="E8" s="22">
        <v>1</v>
      </c>
      <c r="F8" s="18" t="s">
        <v>48</v>
      </c>
      <c r="G8" s="16" t="s">
        <v>652</v>
      </c>
      <c r="H8" s="24" t="s">
        <v>653</v>
      </c>
    </row>
    <row r="9" spans="1:8" ht="30" customHeight="1">
      <c r="A9" s="19" t="s">
        <v>648</v>
      </c>
      <c r="B9" s="19" t="s">
        <v>649</v>
      </c>
      <c r="C9" s="20" t="s">
        <v>654</v>
      </c>
      <c r="D9" s="21" t="s">
        <v>655</v>
      </c>
      <c r="E9" s="22">
        <v>1</v>
      </c>
      <c r="F9" s="18" t="s">
        <v>55</v>
      </c>
      <c r="G9" s="21" t="s">
        <v>656</v>
      </c>
      <c r="H9" s="21" t="s">
        <v>175</v>
      </c>
    </row>
    <row r="10" spans="1:8" ht="30" customHeight="1">
      <c r="A10" s="14" t="s">
        <v>648</v>
      </c>
      <c r="B10" s="14" t="s">
        <v>649</v>
      </c>
      <c r="C10" s="15" t="s">
        <v>657</v>
      </c>
      <c r="D10" s="16" t="s">
        <v>658</v>
      </c>
      <c r="E10" s="17">
        <v>2</v>
      </c>
      <c r="F10" s="18" t="s">
        <v>55</v>
      </c>
      <c r="G10" s="16"/>
      <c r="H10" s="16"/>
    </row>
    <row r="11" spans="1:8" ht="30" customHeight="1">
      <c r="A11" s="19" t="s">
        <v>648</v>
      </c>
      <c r="B11" s="19" t="s">
        <v>649</v>
      </c>
      <c r="C11" s="20" t="s">
        <v>659</v>
      </c>
      <c r="D11" s="21" t="s">
        <v>660</v>
      </c>
      <c r="E11" s="23">
        <v>3</v>
      </c>
      <c r="F11" s="18" t="s">
        <v>55</v>
      </c>
      <c r="G11" s="21"/>
      <c r="H11" s="21"/>
    </row>
    <row r="12" spans="1:8" ht="18" customHeight="1">
      <c r="A12" s="13" t="s">
        <v>661</v>
      </c>
      <c r="B12" s="13" t="s">
        <v>662</v>
      </c>
      <c r="C12" s="13"/>
      <c r="D12" s="13"/>
      <c r="E12" s="13"/>
      <c r="F12" s="13"/>
      <c r="G12" s="13"/>
      <c r="H12" s="13"/>
    </row>
    <row r="13" spans="1:8" ht="30" customHeight="1">
      <c r="A13" s="14" t="s">
        <v>661</v>
      </c>
      <c r="B13" s="14" t="s">
        <v>662</v>
      </c>
      <c r="C13" s="15" t="s">
        <v>663</v>
      </c>
      <c r="D13" s="16" t="s">
        <v>664</v>
      </c>
      <c r="E13" s="22">
        <v>1</v>
      </c>
      <c r="F13" s="18" t="s">
        <v>48</v>
      </c>
      <c r="G13" s="16" t="s">
        <v>665</v>
      </c>
      <c r="H13" s="16" t="s">
        <v>666</v>
      </c>
    </row>
    <row r="14" spans="1:8" ht="30" customHeight="1">
      <c r="A14" s="19" t="s">
        <v>661</v>
      </c>
      <c r="B14" s="19" t="s">
        <v>662</v>
      </c>
      <c r="C14" s="20" t="s">
        <v>667</v>
      </c>
      <c r="D14" s="21" t="s">
        <v>668</v>
      </c>
      <c r="E14" s="23">
        <v>3</v>
      </c>
      <c r="F14" s="18" t="s">
        <v>45</v>
      </c>
      <c r="G14" s="21"/>
      <c r="H14" s="21"/>
    </row>
    <row r="15" spans="1:8" ht="30" customHeight="1">
      <c r="A15" s="14" t="s">
        <v>661</v>
      </c>
      <c r="B15" s="14" t="s">
        <v>662</v>
      </c>
      <c r="C15" s="15" t="s">
        <v>669</v>
      </c>
      <c r="D15" s="16" t="s">
        <v>670</v>
      </c>
      <c r="E15" s="23">
        <v>3</v>
      </c>
      <c r="F15" s="18" t="s">
        <v>55</v>
      </c>
      <c r="G15" s="16" t="s">
        <v>671</v>
      </c>
      <c r="H15" s="16" t="s">
        <v>175</v>
      </c>
    </row>
    <row r="16" spans="1:8" ht="18" customHeight="1">
      <c r="A16" s="13" t="s">
        <v>672</v>
      </c>
      <c r="B16" s="13" t="s">
        <v>673</v>
      </c>
      <c r="C16" s="13"/>
      <c r="D16" s="13"/>
      <c r="E16" s="13"/>
      <c r="F16" s="13"/>
      <c r="G16" s="13"/>
      <c r="H16" s="13"/>
    </row>
    <row r="17" spans="1:8" ht="30" customHeight="1">
      <c r="A17" s="14" t="s">
        <v>672</v>
      </c>
      <c r="B17" s="14" t="s">
        <v>673</v>
      </c>
      <c r="C17" s="15" t="s">
        <v>674</v>
      </c>
      <c r="D17" s="16" t="s">
        <v>675</v>
      </c>
      <c r="E17" s="17">
        <v>2</v>
      </c>
      <c r="F17" s="18" t="s">
        <v>73</v>
      </c>
      <c r="G17" s="16"/>
      <c r="H17" s="16"/>
    </row>
    <row r="18" spans="1:8" ht="30" customHeight="1">
      <c r="A18" s="19" t="s">
        <v>672</v>
      </c>
      <c r="B18" s="19" t="s">
        <v>673</v>
      </c>
      <c r="C18" s="20" t="s">
        <v>676</v>
      </c>
      <c r="D18" s="21" t="s">
        <v>677</v>
      </c>
      <c r="E18" s="23">
        <v>3</v>
      </c>
      <c r="F18" s="18" t="s">
        <v>55</v>
      </c>
      <c r="G18" s="21" t="s">
        <v>678</v>
      </c>
      <c r="H18" s="21" t="s">
        <v>679</v>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800-000000000000}">
      <formula1>"Not Started,In Progress,Compliant,Not Applicable"</formula1>
      <formula2>0</formula2>
    </dataValidation>
  </dataValidations>
  <hyperlinks>
    <hyperlink ref="H8" r:id="rId1" xr:uid="{065B2495-C1B3-486D-B791-90388592D865}"/>
  </hyperlinks>
  <pageMargins left="0.75" right="0.75" top="1" bottom="1" header="0.51180555555555496" footer="0.51180555555555496"/>
  <pageSetup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zoomScale="75" zoomScaleNormal="75" workbookViewId="0">
      <pane ySplit="1" topLeftCell="A2" activePane="bottomLeft" state="frozen"/>
      <selection pane="bottomLeft" activeCell="F11" sqref="F11"/>
    </sheetView>
  </sheetViews>
  <sheetFormatPr defaultColWidth="8.5703125" defaultRowHeight="14.4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c r="A1" s="12" t="s">
        <v>33</v>
      </c>
      <c r="B1" s="12" t="s">
        <v>34</v>
      </c>
      <c r="C1" s="12" t="s">
        <v>35</v>
      </c>
      <c r="D1" s="12" t="s">
        <v>36</v>
      </c>
      <c r="E1" s="12" t="s">
        <v>37</v>
      </c>
      <c r="F1" s="12" t="s">
        <v>38</v>
      </c>
      <c r="G1" s="12" t="s">
        <v>39</v>
      </c>
      <c r="H1" s="12" t="s">
        <v>40</v>
      </c>
    </row>
    <row r="2" spans="1:8" ht="18" customHeight="1">
      <c r="A2" s="13" t="s">
        <v>680</v>
      </c>
      <c r="B2" s="13" t="s">
        <v>681</v>
      </c>
      <c r="C2" s="13"/>
      <c r="D2" s="13"/>
      <c r="E2" s="13"/>
      <c r="F2" s="13"/>
      <c r="G2" s="13"/>
      <c r="H2" s="13"/>
    </row>
    <row r="3" spans="1:8" ht="30" customHeight="1">
      <c r="A3" s="14" t="s">
        <v>680</v>
      </c>
      <c r="B3" s="14" t="s">
        <v>681</v>
      </c>
      <c r="C3" s="15" t="s">
        <v>682</v>
      </c>
      <c r="D3" s="16" t="s">
        <v>683</v>
      </c>
      <c r="E3" s="22">
        <v>1</v>
      </c>
      <c r="F3" s="18" t="s">
        <v>48</v>
      </c>
      <c r="G3" s="16" t="s">
        <v>684</v>
      </c>
      <c r="H3" s="16" t="s">
        <v>685</v>
      </c>
    </row>
    <row r="4" spans="1:8" ht="30" customHeight="1">
      <c r="A4" s="19" t="s">
        <v>680</v>
      </c>
      <c r="B4" s="19" t="s">
        <v>681</v>
      </c>
      <c r="C4" s="20" t="s">
        <v>686</v>
      </c>
      <c r="D4" s="21" t="s">
        <v>687</v>
      </c>
      <c r="E4" s="22">
        <v>1</v>
      </c>
      <c r="F4" s="18" t="s">
        <v>48</v>
      </c>
      <c r="G4" s="21" t="s">
        <v>688</v>
      </c>
      <c r="H4" s="21" t="s">
        <v>689</v>
      </c>
    </row>
    <row r="5" spans="1:8" ht="30" customHeight="1">
      <c r="A5" s="14" t="s">
        <v>680</v>
      </c>
      <c r="B5" s="14" t="s">
        <v>681</v>
      </c>
      <c r="C5" s="15" t="s">
        <v>690</v>
      </c>
      <c r="D5" s="16" t="s">
        <v>691</v>
      </c>
      <c r="E5" s="22">
        <v>1</v>
      </c>
      <c r="F5" s="18" t="s">
        <v>48</v>
      </c>
      <c r="G5" s="16" t="s">
        <v>692</v>
      </c>
      <c r="H5" s="16" t="s">
        <v>693</v>
      </c>
    </row>
    <row r="6" spans="1:8" ht="18" customHeight="1">
      <c r="A6" s="13" t="s">
        <v>694</v>
      </c>
      <c r="B6" s="13" t="s">
        <v>695</v>
      </c>
      <c r="C6" s="13"/>
      <c r="D6" s="13"/>
      <c r="E6" s="13"/>
      <c r="F6" s="13"/>
      <c r="G6" s="13"/>
      <c r="H6" s="13"/>
    </row>
    <row r="7" spans="1:8" ht="30" customHeight="1">
      <c r="A7" s="14" t="s">
        <v>694</v>
      </c>
      <c r="B7" s="14" t="s">
        <v>695</v>
      </c>
      <c r="C7" s="15" t="s">
        <v>696</v>
      </c>
      <c r="D7" s="16" t="s">
        <v>697</v>
      </c>
      <c r="E7" s="22">
        <v>1</v>
      </c>
      <c r="F7" s="18" t="s">
        <v>48</v>
      </c>
      <c r="G7" s="16" t="s">
        <v>698</v>
      </c>
      <c r="H7" s="16" t="s">
        <v>685</v>
      </c>
    </row>
    <row r="8" spans="1:8" ht="30" customHeight="1">
      <c r="A8" s="19" t="s">
        <v>694</v>
      </c>
      <c r="B8" s="19" t="s">
        <v>695</v>
      </c>
      <c r="C8" s="20" t="s">
        <v>699</v>
      </c>
      <c r="D8" s="21" t="s">
        <v>700</v>
      </c>
      <c r="E8" s="17">
        <v>2</v>
      </c>
      <c r="F8" s="18" t="s">
        <v>48</v>
      </c>
      <c r="G8" s="21" t="s">
        <v>701</v>
      </c>
      <c r="H8" s="21" t="s">
        <v>702</v>
      </c>
    </row>
    <row r="9" spans="1:8" ht="30" customHeight="1">
      <c r="A9" s="14" t="s">
        <v>694</v>
      </c>
      <c r="B9" s="14" t="s">
        <v>695</v>
      </c>
      <c r="C9" s="15" t="s">
        <v>703</v>
      </c>
      <c r="D9" s="16" t="s">
        <v>704</v>
      </c>
      <c r="E9" s="17">
        <v>2</v>
      </c>
      <c r="F9" s="18" t="s">
        <v>48</v>
      </c>
      <c r="G9" s="16" t="s">
        <v>705</v>
      </c>
      <c r="H9" s="16" t="s">
        <v>689</v>
      </c>
    </row>
    <row r="10" spans="1:8" ht="30" customHeight="1">
      <c r="A10" s="19" t="s">
        <v>694</v>
      </c>
      <c r="B10" s="19" t="s">
        <v>695</v>
      </c>
      <c r="C10" s="20" t="s">
        <v>706</v>
      </c>
      <c r="D10" s="21" t="s">
        <v>707</v>
      </c>
      <c r="E10" s="17">
        <v>2</v>
      </c>
      <c r="F10" s="18" t="s">
        <v>73</v>
      </c>
      <c r="G10" s="21" t="s">
        <v>708</v>
      </c>
      <c r="H10" s="21"/>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0" xr:uid="{00000000-0002-0000-09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4"/>
  <sheetViews>
    <sheetView zoomScale="75" zoomScaleNormal="75" workbookViewId="0">
      <pane ySplit="1" topLeftCell="A30" activePane="bottomLeft" state="frozen"/>
      <selection pane="bottomLeft" activeCell="D4" sqref="D4"/>
    </sheetView>
  </sheetViews>
  <sheetFormatPr defaultColWidth="8.5703125" defaultRowHeight="14.4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c r="A1" s="12" t="s">
        <v>33</v>
      </c>
      <c r="B1" s="12" t="s">
        <v>34</v>
      </c>
      <c r="C1" s="12" t="s">
        <v>35</v>
      </c>
      <c r="D1" s="12" t="s">
        <v>36</v>
      </c>
      <c r="E1" s="12" t="s">
        <v>37</v>
      </c>
      <c r="F1" s="12" t="s">
        <v>38</v>
      </c>
      <c r="G1" s="12" t="s">
        <v>39</v>
      </c>
      <c r="H1" s="12" t="s">
        <v>40</v>
      </c>
    </row>
    <row r="2" spans="1:8" ht="18" customHeight="1">
      <c r="A2" s="13" t="s">
        <v>709</v>
      </c>
      <c r="B2" s="13" t="s">
        <v>710</v>
      </c>
      <c r="C2" s="13"/>
      <c r="D2" s="13"/>
      <c r="E2" s="13"/>
      <c r="F2" s="13"/>
      <c r="G2" s="13"/>
      <c r="H2" s="13"/>
    </row>
    <row r="3" spans="1:8" ht="30" customHeight="1">
      <c r="A3" s="14" t="s">
        <v>709</v>
      </c>
      <c r="B3" s="14" t="s">
        <v>710</v>
      </c>
      <c r="C3" s="15" t="s">
        <v>711</v>
      </c>
      <c r="D3" s="16" t="s">
        <v>712</v>
      </c>
      <c r="E3" s="17">
        <v>2</v>
      </c>
      <c r="F3" s="18" t="s">
        <v>73</v>
      </c>
      <c r="G3" s="16" t="s">
        <v>713</v>
      </c>
      <c r="H3" s="16"/>
    </row>
    <row r="4" spans="1:8" ht="30" customHeight="1">
      <c r="A4" s="19" t="s">
        <v>709</v>
      </c>
      <c r="B4" s="19" t="s">
        <v>710</v>
      </c>
      <c r="C4" s="20" t="s">
        <v>714</v>
      </c>
      <c r="D4" s="21" t="s">
        <v>715</v>
      </c>
      <c r="E4" s="17">
        <v>2</v>
      </c>
      <c r="F4" s="18" t="s">
        <v>73</v>
      </c>
      <c r="G4" s="16" t="s">
        <v>713</v>
      </c>
      <c r="H4" s="21"/>
    </row>
    <row r="5" spans="1:8" ht="18" customHeight="1">
      <c r="A5" s="13" t="s">
        <v>716</v>
      </c>
      <c r="B5" s="13" t="s">
        <v>717</v>
      </c>
      <c r="C5" s="13"/>
      <c r="D5" s="13"/>
      <c r="E5" s="13"/>
      <c r="F5" s="35"/>
      <c r="G5" s="13"/>
      <c r="H5" s="13"/>
    </row>
    <row r="6" spans="1:8" ht="30" customHeight="1">
      <c r="A6" s="14" t="s">
        <v>716</v>
      </c>
      <c r="B6" s="14" t="s">
        <v>717</v>
      </c>
      <c r="C6" s="15" t="s">
        <v>718</v>
      </c>
      <c r="D6" s="16" t="s">
        <v>719</v>
      </c>
      <c r="E6" s="17">
        <v>2</v>
      </c>
      <c r="F6" s="18" t="s">
        <v>73</v>
      </c>
      <c r="G6" s="16" t="s">
        <v>720</v>
      </c>
      <c r="H6" s="16"/>
    </row>
    <row r="7" spans="1:8" ht="30" customHeight="1">
      <c r="A7" s="19" t="s">
        <v>716</v>
      </c>
      <c r="B7" s="19" t="s">
        <v>717</v>
      </c>
      <c r="C7" s="20" t="s">
        <v>721</v>
      </c>
      <c r="D7" s="21" t="s">
        <v>722</v>
      </c>
      <c r="E7" s="17">
        <v>2</v>
      </c>
      <c r="F7" s="18" t="s">
        <v>73</v>
      </c>
      <c r="G7" s="16" t="s">
        <v>720</v>
      </c>
      <c r="H7" s="21"/>
    </row>
    <row r="8" spans="1:8" ht="30" customHeight="1">
      <c r="A8" s="14" t="s">
        <v>716</v>
      </c>
      <c r="B8" s="14" t="s">
        <v>717</v>
      </c>
      <c r="C8" s="15" t="s">
        <v>723</v>
      </c>
      <c r="D8" s="16" t="s">
        <v>724</v>
      </c>
      <c r="E8" s="23">
        <v>3</v>
      </c>
      <c r="F8" s="18" t="s">
        <v>73</v>
      </c>
      <c r="G8" s="16" t="s">
        <v>720</v>
      </c>
      <c r="H8" s="16"/>
    </row>
    <row r="9" spans="1:8" ht="18" customHeight="1">
      <c r="A9" s="13" t="s">
        <v>725</v>
      </c>
      <c r="B9" s="13" t="s">
        <v>726</v>
      </c>
      <c r="C9" s="13"/>
      <c r="D9" s="13"/>
      <c r="E9" s="13"/>
      <c r="F9" s="35"/>
      <c r="G9" s="13"/>
      <c r="H9" s="13"/>
    </row>
    <row r="10" spans="1:8" ht="30" customHeight="1">
      <c r="A10" s="14" t="s">
        <v>725</v>
      </c>
      <c r="B10" s="14" t="s">
        <v>726</v>
      </c>
      <c r="C10" s="15" t="s">
        <v>727</v>
      </c>
      <c r="D10" s="16" t="s">
        <v>728</v>
      </c>
      <c r="E10" s="17">
        <v>2</v>
      </c>
      <c r="F10" s="18" t="s">
        <v>73</v>
      </c>
      <c r="G10" s="16" t="s">
        <v>720</v>
      </c>
      <c r="H10" s="16"/>
    </row>
    <row r="11" spans="1:8" ht="30" customHeight="1">
      <c r="A11" s="19" t="s">
        <v>725</v>
      </c>
      <c r="B11" s="19" t="s">
        <v>726</v>
      </c>
      <c r="C11" s="20" t="s">
        <v>729</v>
      </c>
      <c r="D11" s="21" t="s">
        <v>730</v>
      </c>
      <c r="E11" s="17">
        <v>2</v>
      </c>
      <c r="F11" s="18" t="s">
        <v>73</v>
      </c>
      <c r="G11" s="16" t="s">
        <v>720</v>
      </c>
      <c r="H11" s="21"/>
    </row>
    <row r="12" spans="1:8" ht="30" customHeight="1">
      <c r="A12" s="14" t="s">
        <v>725</v>
      </c>
      <c r="B12" s="14" t="s">
        <v>726</v>
      </c>
      <c r="C12" s="15" t="s">
        <v>731</v>
      </c>
      <c r="D12" s="16" t="s">
        <v>732</v>
      </c>
      <c r="E12" s="17">
        <v>2</v>
      </c>
      <c r="F12" s="18" t="s">
        <v>73</v>
      </c>
      <c r="G12" s="16" t="s">
        <v>720</v>
      </c>
      <c r="H12" s="16"/>
    </row>
    <row r="13" spans="1:8" ht="30" customHeight="1">
      <c r="A13" s="19" t="s">
        <v>725</v>
      </c>
      <c r="B13" s="19" t="s">
        <v>726</v>
      </c>
      <c r="C13" s="20" t="s">
        <v>733</v>
      </c>
      <c r="D13" s="21" t="s">
        <v>734</v>
      </c>
      <c r="E13" s="17">
        <v>2</v>
      </c>
      <c r="F13" s="18" t="s">
        <v>73</v>
      </c>
      <c r="G13" s="16" t="s">
        <v>720</v>
      </c>
      <c r="H13" s="21"/>
    </row>
    <row r="14" spans="1:8" ht="30" customHeight="1">
      <c r="A14" s="14" t="s">
        <v>725</v>
      </c>
      <c r="B14" s="14" t="s">
        <v>726</v>
      </c>
      <c r="C14" s="15" t="s">
        <v>735</v>
      </c>
      <c r="D14" s="16" t="s">
        <v>736</v>
      </c>
      <c r="E14" s="23">
        <v>3</v>
      </c>
      <c r="F14" s="18" t="s">
        <v>73</v>
      </c>
      <c r="G14" s="16" t="s">
        <v>720</v>
      </c>
      <c r="H14" s="16"/>
    </row>
    <row r="15" spans="1:8" ht="18" customHeight="1">
      <c r="A15" s="13" t="s">
        <v>737</v>
      </c>
      <c r="B15" s="13" t="s">
        <v>738</v>
      </c>
      <c r="C15" s="13"/>
      <c r="D15" s="13"/>
      <c r="E15" s="13"/>
      <c r="F15" s="35"/>
      <c r="G15" s="13"/>
      <c r="H15" s="13"/>
    </row>
    <row r="16" spans="1:8" ht="30" customHeight="1">
      <c r="A16" s="14" t="s">
        <v>737</v>
      </c>
      <c r="B16" s="14" t="s">
        <v>738</v>
      </c>
      <c r="C16" s="15" t="s">
        <v>739</v>
      </c>
      <c r="D16" s="16" t="s">
        <v>740</v>
      </c>
      <c r="E16" s="22">
        <v>1</v>
      </c>
      <c r="F16" s="18" t="s">
        <v>73</v>
      </c>
      <c r="G16" s="16" t="s">
        <v>720</v>
      </c>
      <c r="H16" s="16"/>
    </row>
    <row r="17" spans="1:8" ht="30" customHeight="1">
      <c r="A17" s="19" t="s">
        <v>737</v>
      </c>
      <c r="B17" s="19" t="s">
        <v>738</v>
      </c>
      <c r="C17" s="20" t="s">
        <v>741</v>
      </c>
      <c r="D17" s="21" t="s">
        <v>742</v>
      </c>
      <c r="E17" s="22">
        <v>1</v>
      </c>
      <c r="F17" s="18" t="s">
        <v>73</v>
      </c>
      <c r="G17" s="16" t="s">
        <v>720</v>
      </c>
      <c r="H17" s="21"/>
    </row>
    <row r="18" spans="1:8" ht="30" customHeight="1">
      <c r="A18" s="14" t="s">
        <v>737</v>
      </c>
      <c r="B18" s="14" t="s">
        <v>738</v>
      </c>
      <c r="C18" s="15" t="s">
        <v>743</v>
      </c>
      <c r="D18" s="16" t="s">
        <v>744</v>
      </c>
      <c r="E18" s="22">
        <v>1</v>
      </c>
      <c r="F18" s="18" t="s">
        <v>73</v>
      </c>
      <c r="G18" s="16" t="s">
        <v>720</v>
      </c>
      <c r="H18" s="16"/>
    </row>
    <row r="19" spans="1:8" ht="30" customHeight="1">
      <c r="A19" s="19" t="s">
        <v>737</v>
      </c>
      <c r="B19" s="19" t="s">
        <v>738</v>
      </c>
      <c r="C19" s="20" t="s">
        <v>745</v>
      </c>
      <c r="D19" s="21" t="s">
        <v>746</v>
      </c>
      <c r="E19" s="22">
        <v>1</v>
      </c>
      <c r="F19" s="18" t="s">
        <v>73</v>
      </c>
      <c r="G19" s="16" t="s">
        <v>720</v>
      </c>
      <c r="H19" s="21"/>
    </row>
    <row r="20" spans="1:8" ht="30" customHeight="1">
      <c r="A20" s="14" t="s">
        <v>737</v>
      </c>
      <c r="B20" s="14" t="s">
        <v>738</v>
      </c>
      <c r="C20" s="15" t="s">
        <v>747</v>
      </c>
      <c r="D20" s="16" t="s">
        <v>748</v>
      </c>
      <c r="E20" s="22">
        <v>1</v>
      </c>
      <c r="F20" s="18" t="s">
        <v>73</v>
      </c>
      <c r="G20" s="16" t="s">
        <v>720</v>
      </c>
      <c r="H20" s="16"/>
    </row>
    <row r="21" spans="1:8" ht="30" customHeight="1">
      <c r="A21" s="19" t="s">
        <v>737</v>
      </c>
      <c r="B21" s="19" t="s">
        <v>738</v>
      </c>
      <c r="C21" s="20" t="s">
        <v>749</v>
      </c>
      <c r="D21" s="21" t="s">
        <v>750</v>
      </c>
      <c r="E21" s="17">
        <v>2</v>
      </c>
      <c r="F21" s="18" t="s">
        <v>73</v>
      </c>
      <c r="G21" s="16" t="s">
        <v>720</v>
      </c>
      <c r="H21" s="21"/>
    </row>
    <row r="22" spans="1:8" ht="30" customHeight="1">
      <c r="A22" s="14" t="s">
        <v>737</v>
      </c>
      <c r="B22" s="14" t="s">
        <v>738</v>
      </c>
      <c r="C22" s="15" t="s">
        <v>751</v>
      </c>
      <c r="D22" s="16" t="s">
        <v>752</v>
      </c>
      <c r="E22" s="17">
        <v>2</v>
      </c>
      <c r="F22" s="18" t="s">
        <v>73</v>
      </c>
      <c r="G22" s="16" t="s">
        <v>720</v>
      </c>
      <c r="H22" s="16"/>
    </row>
    <row r="23" spans="1:8" ht="30" customHeight="1">
      <c r="A23" s="19" t="s">
        <v>737</v>
      </c>
      <c r="B23" s="19" t="s">
        <v>738</v>
      </c>
      <c r="C23" s="20" t="s">
        <v>753</v>
      </c>
      <c r="D23" s="21" t="s">
        <v>754</v>
      </c>
      <c r="E23" s="17">
        <v>2</v>
      </c>
      <c r="F23" s="18" t="s">
        <v>73</v>
      </c>
      <c r="G23" s="16" t="s">
        <v>720</v>
      </c>
      <c r="H23" s="21"/>
    </row>
    <row r="24" spans="1:8" ht="30" customHeight="1">
      <c r="A24" s="14" t="s">
        <v>737</v>
      </c>
      <c r="B24" s="14" t="s">
        <v>738</v>
      </c>
      <c r="C24" s="15" t="s">
        <v>755</v>
      </c>
      <c r="D24" s="16" t="s">
        <v>756</v>
      </c>
      <c r="E24" s="17">
        <v>2</v>
      </c>
      <c r="F24" s="18" t="s">
        <v>73</v>
      </c>
      <c r="G24" s="16" t="s">
        <v>720</v>
      </c>
      <c r="H24" s="16"/>
    </row>
    <row r="25" spans="1:8" ht="30" customHeight="1">
      <c r="A25" s="19" t="s">
        <v>737</v>
      </c>
      <c r="B25" s="19" t="s">
        <v>738</v>
      </c>
      <c r="C25" s="20" t="s">
        <v>757</v>
      </c>
      <c r="D25" s="21" t="s">
        <v>758</v>
      </c>
      <c r="E25" s="17">
        <v>2</v>
      </c>
      <c r="F25" s="18" t="s">
        <v>73</v>
      </c>
      <c r="G25" s="16" t="s">
        <v>720</v>
      </c>
      <c r="H25" s="21"/>
    </row>
    <row r="26" spans="1:8" ht="30" customHeight="1">
      <c r="A26" s="14" t="s">
        <v>737</v>
      </c>
      <c r="B26" s="14" t="s">
        <v>738</v>
      </c>
      <c r="C26" s="15" t="s">
        <v>759</v>
      </c>
      <c r="D26" s="16" t="s">
        <v>760</v>
      </c>
      <c r="E26" s="17">
        <v>2</v>
      </c>
      <c r="F26" s="18" t="s">
        <v>73</v>
      </c>
      <c r="G26" s="16" t="s">
        <v>720</v>
      </c>
      <c r="H26" s="16"/>
    </row>
    <row r="27" spans="1:8" ht="30" customHeight="1">
      <c r="A27" s="19" t="s">
        <v>737</v>
      </c>
      <c r="B27" s="19" t="s">
        <v>738</v>
      </c>
      <c r="C27" s="20" t="s">
        <v>761</v>
      </c>
      <c r="D27" s="21" t="s">
        <v>762</v>
      </c>
      <c r="E27" s="23">
        <v>3</v>
      </c>
      <c r="F27" s="18" t="s">
        <v>73</v>
      </c>
      <c r="G27" s="16" t="s">
        <v>720</v>
      </c>
      <c r="H27" s="21"/>
    </row>
    <row r="28" spans="1:8" ht="30" customHeight="1">
      <c r="A28" s="14" t="s">
        <v>737</v>
      </c>
      <c r="B28" s="14" t="s">
        <v>738</v>
      </c>
      <c r="C28" s="15" t="s">
        <v>763</v>
      </c>
      <c r="D28" s="16" t="s">
        <v>764</v>
      </c>
      <c r="E28" s="23">
        <v>3</v>
      </c>
      <c r="F28" s="18" t="s">
        <v>73</v>
      </c>
      <c r="G28" s="16" t="s">
        <v>720</v>
      </c>
      <c r="H28" s="16"/>
    </row>
    <row r="29" spans="1:8" ht="30" customHeight="1">
      <c r="A29" s="19" t="s">
        <v>737</v>
      </c>
      <c r="B29" s="19" t="s">
        <v>738</v>
      </c>
      <c r="C29" s="20" t="s">
        <v>765</v>
      </c>
      <c r="D29" s="21" t="s">
        <v>766</v>
      </c>
      <c r="E29" s="23">
        <v>3</v>
      </c>
      <c r="F29" s="18" t="s">
        <v>73</v>
      </c>
      <c r="G29" s="16" t="s">
        <v>720</v>
      </c>
      <c r="H29" s="21"/>
    </row>
    <row r="30" spans="1:8" ht="30" customHeight="1">
      <c r="A30" s="14" t="s">
        <v>737</v>
      </c>
      <c r="B30" s="14" t="s">
        <v>738</v>
      </c>
      <c r="C30" s="15" t="s">
        <v>767</v>
      </c>
      <c r="D30" s="16" t="s">
        <v>768</v>
      </c>
      <c r="E30" s="23">
        <v>3</v>
      </c>
      <c r="F30" s="18" t="s">
        <v>73</v>
      </c>
      <c r="G30" s="16" t="s">
        <v>720</v>
      </c>
      <c r="H30" s="16"/>
    </row>
    <row r="31" spans="1:8" ht="30" customHeight="1">
      <c r="A31" s="19" t="s">
        <v>737</v>
      </c>
      <c r="B31" s="19" t="s">
        <v>738</v>
      </c>
      <c r="C31" s="20" t="s">
        <v>769</v>
      </c>
      <c r="D31" s="21" t="s">
        <v>770</v>
      </c>
      <c r="E31" s="23">
        <v>3</v>
      </c>
      <c r="F31" s="18" t="s">
        <v>73</v>
      </c>
      <c r="G31" s="16" t="s">
        <v>720</v>
      </c>
      <c r="H31" s="21"/>
    </row>
    <row r="32" spans="1:8" ht="18" customHeight="1">
      <c r="A32" s="13" t="s">
        <v>771</v>
      </c>
      <c r="B32" s="13" t="s">
        <v>772</v>
      </c>
      <c r="C32" s="13"/>
      <c r="D32" s="13"/>
      <c r="E32" s="13"/>
      <c r="F32" s="35"/>
      <c r="G32" s="13"/>
      <c r="H32" s="13"/>
    </row>
    <row r="33" spans="1:8" ht="30" customHeight="1">
      <c r="A33" s="14" t="s">
        <v>771</v>
      </c>
      <c r="B33" s="14" t="s">
        <v>772</v>
      </c>
      <c r="C33" s="15" t="s">
        <v>773</v>
      </c>
      <c r="D33" s="16" t="s">
        <v>774</v>
      </c>
      <c r="E33" s="17">
        <v>2</v>
      </c>
      <c r="F33" s="18" t="s">
        <v>73</v>
      </c>
      <c r="G33" s="16" t="s">
        <v>720</v>
      </c>
      <c r="H33" s="16"/>
    </row>
    <row r="34" spans="1:8" ht="30" customHeight="1">
      <c r="A34" s="19" t="s">
        <v>771</v>
      </c>
      <c r="B34" s="19" t="s">
        <v>772</v>
      </c>
      <c r="C34" s="20" t="s">
        <v>775</v>
      </c>
      <c r="D34" s="21" t="s">
        <v>776</v>
      </c>
      <c r="E34" s="17">
        <v>2</v>
      </c>
      <c r="F34" s="18" t="s">
        <v>73</v>
      </c>
      <c r="G34" s="16" t="s">
        <v>720</v>
      </c>
      <c r="H34" s="21"/>
    </row>
    <row r="35" spans="1:8" ht="30" customHeight="1">
      <c r="A35" s="14" t="s">
        <v>771</v>
      </c>
      <c r="B35" s="14" t="s">
        <v>772</v>
      </c>
      <c r="C35" s="15" t="s">
        <v>777</v>
      </c>
      <c r="D35" s="16" t="s">
        <v>778</v>
      </c>
      <c r="E35" s="17">
        <v>2</v>
      </c>
      <c r="F35" s="18" t="s">
        <v>73</v>
      </c>
      <c r="G35" s="16" t="s">
        <v>720</v>
      </c>
      <c r="H35" s="16"/>
    </row>
    <row r="36" spans="1:8" ht="30" customHeight="1">
      <c r="A36" s="19" t="s">
        <v>771</v>
      </c>
      <c r="B36" s="19" t="s">
        <v>772</v>
      </c>
      <c r="C36" s="20" t="s">
        <v>779</v>
      </c>
      <c r="D36" s="21" t="s">
        <v>780</v>
      </c>
      <c r="E36" s="17">
        <v>2</v>
      </c>
      <c r="F36" s="18" t="s">
        <v>73</v>
      </c>
      <c r="G36" s="16" t="s">
        <v>720</v>
      </c>
      <c r="H36" s="21"/>
    </row>
    <row r="37" spans="1:8" ht="30" customHeight="1">
      <c r="A37" s="14" t="s">
        <v>771</v>
      </c>
      <c r="B37" s="14" t="s">
        <v>772</v>
      </c>
      <c r="C37" s="15" t="s">
        <v>781</v>
      </c>
      <c r="D37" s="16" t="s">
        <v>782</v>
      </c>
      <c r="E37" s="17">
        <v>2</v>
      </c>
      <c r="F37" s="18" t="s">
        <v>73</v>
      </c>
      <c r="G37" s="16" t="s">
        <v>720</v>
      </c>
      <c r="H37" s="16"/>
    </row>
    <row r="38" spans="1:8" ht="18" customHeight="1">
      <c r="A38" s="13" t="s">
        <v>783</v>
      </c>
      <c r="B38" s="13" t="s">
        <v>784</v>
      </c>
      <c r="C38" s="13"/>
      <c r="D38" s="13"/>
      <c r="E38" s="13"/>
      <c r="F38" s="35"/>
      <c r="G38" s="13"/>
      <c r="H38" s="13"/>
    </row>
    <row r="39" spans="1:8" ht="30" customHeight="1">
      <c r="A39" s="14" t="s">
        <v>783</v>
      </c>
      <c r="B39" s="14" t="s">
        <v>784</v>
      </c>
      <c r="C39" s="15" t="s">
        <v>785</v>
      </c>
      <c r="D39" s="16" t="s">
        <v>786</v>
      </c>
      <c r="E39" s="17">
        <v>2</v>
      </c>
      <c r="F39" s="18" t="s">
        <v>73</v>
      </c>
      <c r="G39" s="16" t="s">
        <v>720</v>
      </c>
      <c r="H39" s="16"/>
    </row>
    <row r="40" spans="1:8" ht="30" customHeight="1">
      <c r="A40" s="19" t="s">
        <v>783</v>
      </c>
      <c r="B40" s="19" t="s">
        <v>784</v>
      </c>
      <c r="C40" s="20" t="s">
        <v>787</v>
      </c>
      <c r="D40" s="21" t="s">
        <v>788</v>
      </c>
      <c r="E40" s="17">
        <v>2</v>
      </c>
      <c r="F40" s="18" t="s">
        <v>73</v>
      </c>
      <c r="G40" s="16" t="s">
        <v>720</v>
      </c>
      <c r="H40" s="21"/>
    </row>
    <row r="41" spans="1:8" ht="18" customHeight="1">
      <c r="A41" s="13" t="s">
        <v>789</v>
      </c>
      <c r="B41" s="13" t="s">
        <v>790</v>
      </c>
      <c r="C41" s="13"/>
      <c r="D41" s="13"/>
      <c r="E41" s="13"/>
      <c r="F41" s="35"/>
      <c r="G41" s="13"/>
      <c r="H41" s="13"/>
    </row>
    <row r="42" spans="1:8" ht="30" customHeight="1">
      <c r="A42" s="14" t="s">
        <v>789</v>
      </c>
      <c r="B42" s="14" t="s">
        <v>790</v>
      </c>
      <c r="C42" s="15" t="s">
        <v>791</v>
      </c>
      <c r="D42" s="16" t="s">
        <v>792</v>
      </c>
      <c r="E42" s="17">
        <v>2</v>
      </c>
      <c r="F42" s="18" t="s">
        <v>73</v>
      </c>
      <c r="G42" s="16" t="s">
        <v>720</v>
      </c>
      <c r="H42" s="16"/>
    </row>
    <row r="43" spans="1:8" ht="30" customHeight="1">
      <c r="A43" s="19" t="s">
        <v>789</v>
      </c>
      <c r="B43" s="19" t="s">
        <v>790</v>
      </c>
      <c r="C43" s="20" t="s">
        <v>793</v>
      </c>
      <c r="D43" s="21" t="s">
        <v>794</v>
      </c>
      <c r="E43" s="17">
        <v>2</v>
      </c>
      <c r="F43" s="18" t="s">
        <v>73</v>
      </c>
      <c r="G43" s="16" t="s">
        <v>720</v>
      </c>
      <c r="H43" s="21"/>
    </row>
    <row r="44" spans="1:8" ht="30" customHeight="1">
      <c r="A44" s="14" t="s">
        <v>789</v>
      </c>
      <c r="B44" s="14" t="s">
        <v>790</v>
      </c>
      <c r="C44" s="15" t="s">
        <v>795</v>
      </c>
      <c r="D44" s="16" t="s">
        <v>796</v>
      </c>
      <c r="E44" s="17">
        <v>2</v>
      </c>
      <c r="F44" s="18" t="s">
        <v>73</v>
      </c>
      <c r="G44" s="16" t="s">
        <v>720</v>
      </c>
      <c r="H44" s="16"/>
    </row>
  </sheetData>
  <conditionalFormatting sqref="F2:F4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44" xr:uid="{00000000-0002-0000-0A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2"/>
  <sheetViews>
    <sheetView zoomScale="75" zoomScaleNormal="75" workbookViewId="0">
      <pane ySplit="1" topLeftCell="A21" activePane="bottomLeft" state="frozen"/>
      <selection pane="bottomLeft" activeCell="D32" sqref="D32"/>
    </sheetView>
  </sheetViews>
  <sheetFormatPr defaultColWidth="8.5703125" defaultRowHeight="14.4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c r="A1" s="12" t="s">
        <v>33</v>
      </c>
      <c r="B1" s="12" t="s">
        <v>34</v>
      </c>
      <c r="C1" s="12" t="s">
        <v>35</v>
      </c>
      <c r="D1" s="12" t="s">
        <v>36</v>
      </c>
      <c r="E1" s="12" t="s">
        <v>37</v>
      </c>
      <c r="F1" s="12" t="s">
        <v>38</v>
      </c>
      <c r="G1" s="12" t="s">
        <v>39</v>
      </c>
      <c r="H1" s="12" t="s">
        <v>40</v>
      </c>
    </row>
    <row r="2" spans="1:8" ht="18" customHeight="1">
      <c r="A2" s="13" t="s">
        <v>797</v>
      </c>
      <c r="B2" s="13" t="s">
        <v>798</v>
      </c>
      <c r="C2" s="13"/>
      <c r="D2" s="13"/>
      <c r="E2" s="13"/>
      <c r="F2" s="13"/>
      <c r="G2" s="13"/>
      <c r="H2" s="13"/>
    </row>
    <row r="3" spans="1:8" ht="30" customHeight="1">
      <c r="A3" s="14" t="s">
        <v>797</v>
      </c>
      <c r="B3" s="14" t="s">
        <v>798</v>
      </c>
      <c r="C3" s="15" t="s">
        <v>799</v>
      </c>
      <c r="D3" s="16" t="s">
        <v>800</v>
      </c>
      <c r="E3" s="17">
        <v>2</v>
      </c>
      <c r="F3" s="18" t="s">
        <v>45</v>
      </c>
      <c r="G3" s="16"/>
      <c r="H3" s="16"/>
    </row>
    <row r="4" spans="1:8" ht="30" customHeight="1">
      <c r="A4" s="19" t="s">
        <v>797</v>
      </c>
      <c r="B4" s="19" t="s">
        <v>798</v>
      </c>
      <c r="C4" s="20" t="s">
        <v>801</v>
      </c>
      <c r="D4" s="21" t="s">
        <v>802</v>
      </c>
      <c r="E4" s="17">
        <v>2</v>
      </c>
      <c r="F4" s="18" t="s">
        <v>45</v>
      </c>
      <c r="G4" s="21"/>
      <c r="H4" s="21"/>
    </row>
    <row r="5" spans="1:8" ht="30" customHeight="1">
      <c r="A5" s="14" t="s">
        <v>797</v>
      </c>
      <c r="B5" s="14" t="s">
        <v>798</v>
      </c>
      <c r="C5" s="15" t="s">
        <v>803</v>
      </c>
      <c r="D5" s="16" t="s">
        <v>804</v>
      </c>
      <c r="E5" s="23">
        <v>3</v>
      </c>
      <c r="F5" s="18" t="s">
        <v>45</v>
      </c>
      <c r="G5" s="16"/>
      <c r="H5" s="16"/>
    </row>
    <row r="6" spans="1:8" ht="30" customHeight="1">
      <c r="A6" s="19" t="s">
        <v>797</v>
      </c>
      <c r="B6" s="19" t="s">
        <v>798</v>
      </c>
      <c r="C6" s="20" t="s">
        <v>805</v>
      </c>
      <c r="D6" s="21" t="s">
        <v>806</v>
      </c>
      <c r="E6" s="23">
        <v>3</v>
      </c>
      <c r="F6" s="18" t="s">
        <v>45</v>
      </c>
      <c r="G6" s="21"/>
      <c r="H6" s="21"/>
    </row>
    <row r="7" spans="1:8" ht="18" customHeight="1">
      <c r="A7" s="13" t="s">
        <v>807</v>
      </c>
      <c r="B7" s="13" t="s">
        <v>808</v>
      </c>
      <c r="C7" s="13"/>
      <c r="D7" s="13"/>
      <c r="E7" s="13"/>
      <c r="F7" s="13"/>
      <c r="G7" s="13"/>
      <c r="H7" s="13"/>
    </row>
    <row r="8" spans="1:8" ht="30" customHeight="1">
      <c r="A8" s="14" t="s">
        <v>807</v>
      </c>
      <c r="B8" s="14" t="s">
        <v>808</v>
      </c>
      <c r="C8" s="15" t="s">
        <v>809</v>
      </c>
      <c r="D8" s="16" t="s">
        <v>810</v>
      </c>
      <c r="E8" s="17">
        <v>2</v>
      </c>
      <c r="F8" s="18" t="s">
        <v>45</v>
      </c>
      <c r="G8" s="16"/>
      <c r="H8" s="16"/>
    </row>
    <row r="9" spans="1:8" ht="30" customHeight="1">
      <c r="A9" s="19" t="s">
        <v>807</v>
      </c>
      <c r="B9" s="19" t="s">
        <v>808</v>
      </c>
      <c r="C9" s="20" t="s">
        <v>811</v>
      </c>
      <c r="D9" s="21" t="s">
        <v>812</v>
      </c>
      <c r="E9" s="17">
        <v>2</v>
      </c>
      <c r="F9" s="18" t="s">
        <v>45</v>
      </c>
      <c r="G9" s="21"/>
      <c r="H9" s="21"/>
    </row>
    <row r="10" spans="1:8" ht="30" customHeight="1">
      <c r="A10" s="14" t="s">
        <v>807</v>
      </c>
      <c r="B10" s="14" t="s">
        <v>808</v>
      </c>
      <c r="C10" s="15" t="s">
        <v>813</v>
      </c>
      <c r="D10" s="16" t="s">
        <v>814</v>
      </c>
      <c r="E10" s="17">
        <v>2</v>
      </c>
      <c r="F10" s="18" t="s">
        <v>45</v>
      </c>
      <c r="G10" s="16"/>
      <c r="H10" s="16"/>
    </row>
    <row r="11" spans="1:8" ht="30" customHeight="1">
      <c r="A11" s="19" t="s">
        <v>807</v>
      </c>
      <c r="B11" s="19" t="s">
        <v>808</v>
      </c>
      <c r="C11" s="20" t="s">
        <v>815</v>
      </c>
      <c r="D11" s="21" t="s">
        <v>816</v>
      </c>
      <c r="E11" s="23">
        <v>3</v>
      </c>
      <c r="F11" s="18" t="s">
        <v>45</v>
      </c>
      <c r="G11" s="21"/>
      <c r="H11" s="21"/>
    </row>
    <row r="12" spans="1:8" ht="30" customHeight="1">
      <c r="A12" s="14" t="s">
        <v>807</v>
      </c>
      <c r="B12" s="14" t="s">
        <v>808</v>
      </c>
      <c r="C12" s="15" t="s">
        <v>817</v>
      </c>
      <c r="D12" s="16" t="s">
        <v>818</v>
      </c>
      <c r="E12" s="23">
        <v>3</v>
      </c>
      <c r="F12" s="18" t="s">
        <v>45</v>
      </c>
      <c r="G12" s="16"/>
      <c r="H12" s="16"/>
    </row>
    <row r="13" spans="1:8" ht="18" customHeight="1">
      <c r="A13" s="13" t="s">
        <v>819</v>
      </c>
      <c r="B13" s="13" t="s">
        <v>820</v>
      </c>
      <c r="C13" s="13"/>
      <c r="D13" s="13"/>
      <c r="E13" s="13"/>
      <c r="F13" s="13"/>
      <c r="G13" s="13"/>
      <c r="H13" s="13"/>
    </row>
    <row r="14" spans="1:8" ht="30" customHeight="1">
      <c r="A14" s="14" t="s">
        <v>819</v>
      </c>
      <c r="B14" s="14" t="s">
        <v>820</v>
      </c>
      <c r="C14" s="15" t="s">
        <v>821</v>
      </c>
      <c r="D14" s="16" t="s">
        <v>822</v>
      </c>
      <c r="E14" s="22">
        <v>1</v>
      </c>
      <c r="F14" s="18" t="s">
        <v>45</v>
      </c>
      <c r="G14" s="16"/>
      <c r="H14" s="16"/>
    </row>
    <row r="15" spans="1:8" ht="30" customHeight="1">
      <c r="A15" s="19" t="s">
        <v>819</v>
      </c>
      <c r="B15" s="19" t="s">
        <v>820</v>
      </c>
      <c r="C15" s="20" t="s">
        <v>823</v>
      </c>
      <c r="D15" s="21" t="s">
        <v>824</v>
      </c>
      <c r="E15" s="22">
        <v>1</v>
      </c>
      <c r="F15" s="18" t="s">
        <v>45</v>
      </c>
      <c r="G15" s="21"/>
      <c r="H15" s="21"/>
    </row>
    <row r="16" spans="1:8" ht="30" customHeight="1">
      <c r="A16" s="14" t="s">
        <v>819</v>
      </c>
      <c r="B16" s="14" t="s">
        <v>820</v>
      </c>
      <c r="C16" s="15" t="s">
        <v>825</v>
      </c>
      <c r="D16" s="16" t="s">
        <v>826</v>
      </c>
      <c r="E16" s="17">
        <v>2</v>
      </c>
      <c r="F16" s="18" t="s">
        <v>45</v>
      </c>
      <c r="G16" s="16"/>
      <c r="H16" s="16"/>
    </row>
    <row r="17" spans="1:8" ht="30" customHeight="1">
      <c r="A17" s="19" t="s">
        <v>819</v>
      </c>
      <c r="B17" s="19" t="s">
        <v>820</v>
      </c>
      <c r="C17" s="20" t="s">
        <v>827</v>
      </c>
      <c r="D17" s="21" t="s">
        <v>828</v>
      </c>
      <c r="E17" s="23">
        <v>3</v>
      </c>
      <c r="F17" s="18" t="s">
        <v>45</v>
      </c>
      <c r="G17" s="21"/>
      <c r="H17" s="21"/>
    </row>
    <row r="18" spans="1:8" ht="30" customHeight="1">
      <c r="A18" s="14" t="s">
        <v>819</v>
      </c>
      <c r="B18" s="14" t="s">
        <v>820</v>
      </c>
      <c r="C18" s="15" t="s">
        <v>829</v>
      </c>
      <c r="D18" s="16" t="s">
        <v>830</v>
      </c>
      <c r="E18" s="23">
        <v>3</v>
      </c>
      <c r="F18" s="18" t="s">
        <v>45</v>
      </c>
      <c r="G18" s="16"/>
      <c r="H18" s="16"/>
    </row>
    <row r="19" spans="1:8" ht="18" customHeight="1">
      <c r="A19" s="13" t="s">
        <v>831</v>
      </c>
      <c r="B19" s="13" t="s">
        <v>832</v>
      </c>
      <c r="C19" s="13"/>
      <c r="D19" s="13"/>
      <c r="E19" s="13"/>
      <c r="F19" s="13"/>
      <c r="G19" s="13"/>
      <c r="H19" s="13"/>
    </row>
    <row r="20" spans="1:8" ht="30" customHeight="1">
      <c r="A20" s="14" t="s">
        <v>831</v>
      </c>
      <c r="B20" s="14" t="s">
        <v>832</v>
      </c>
      <c r="C20" s="15" t="s">
        <v>833</v>
      </c>
      <c r="D20" s="16" t="s">
        <v>834</v>
      </c>
      <c r="E20" s="22">
        <v>1</v>
      </c>
      <c r="F20" s="18" t="s">
        <v>45</v>
      </c>
      <c r="G20" s="16"/>
      <c r="H20" s="16"/>
    </row>
    <row r="21" spans="1:8" ht="30" customHeight="1">
      <c r="A21" s="19" t="s">
        <v>831</v>
      </c>
      <c r="B21" s="19" t="s">
        <v>832</v>
      </c>
      <c r="C21" s="20" t="s">
        <v>835</v>
      </c>
      <c r="D21" s="21" t="s">
        <v>836</v>
      </c>
      <c r="E21" s="17">
        <v>2</v>
      </c>
      <c r="F21" s="18" t="s">
        <v>45</v>
      </c>
      <c r="G21" s="21"/>
      <c r="H21" s="21"/>
    </row>
    <row r="22" spans="1:8" ht="30" customHeight="1">
      <c r="A22" s="14" t="s">
        <v>831</v>
      </c>
      <c r="B22" s="14" t="s">
        <v>832</v>
      </c>
      <c r="C22" s="15" t="s">
        <v>837</v>
      </c>
      <c r="D22" s="16" t="s">
        <v>838</v>
      </c>
      <c r="E22" s="17">
        <v>2</v>
      </c>
      <c r="F22" s="18" t="s">
        <v>45</v>
      </c>
      <c r="G22" s="16"/>
      <c r="H22" s="16"/>
    </row>
    <row r="23" spans="1:8" ht="30" customHeight="1">
      <c r="A23" s="19" t="s">
        <v>831</v>
      </c>
      <c r="B23" s="19" t="s">
        <v>832</v>
      </c>
      <c r="C23" s="20" t="s">
        <v>839</v>
      </c>
      <c r="D23" s="21" t="s">
        <v>840</v>
      </c>
      <c r="E23" s="17">
        <v>2</v>
      </c>
      <c r="F23" s="18" t="s">
        <v>45</v>
      </c>
      <c r="G23" s="21"/>
      <c r="H23" s="21"/>
    </row>
    <row r="24" spans="1:8" ht="18" customHeight="1">
      <c r="A24" s="13" t="s">
        <v>841</v>
      </c>
      <c r="B24" s="13" t="s">
        <v>842</v>
      </c>
      <c r="C24" s="13"/>
      <c r="D24" s="13"/>
      <c r="E24" s="13"/>
      <c r="F24" s="13"/>
      <c r="G24" s="13"/>
      <c r="H24" s="13"/>
    </row>
    <row r="25" spans="1:8" ht="30" customHeight="1">
      <c r="A25" s="14" t="s">
        <v>841</v>
      </c>
      <c r="B25" s="14" t="s">
        <v>842</v>
      </c>
      <c r="C25" s="15" t="s">
        <v>843</v>
      </c>
      <c r="D25" s="16" t="s">
        <v>844</v>
      </c>
      <c r="E25" s="17">
        <v>2</v>
      </c>
      <c r="F25" s="18" t="s">
        <v>55</v>
      </c>
      <c r="G25" s="16"/>
      <c r="H25" s="16"/>
    </row>
    <row r="26" spans="1:8" ht="30" customHeight="1">
      <c r="A26" s="19" t="s">
        <v>841</v>
      </c>
      <c r="B26" s="19" t="s">
        <v>842</v>
      </c>
      <c r="C26" s="20" t="s">
        <v>845</v>
      </c>
      <c r="D26" s="21" t="s">
        <v>846</v>
      </c>
      <c r="E26" s="23">
        <v>3</v>
      </c>
      <c r="F26" s="18" t="s">
        <v>73</v>
      </c>
      <c r="G26" s="21"/>
      <c r="H26" s="21"/>
    </row>
    <row r="27" spans="1:8" ht="18" customHeight="1">
      <c r="A27" s="13" t="s">
        <v>847</v>
      </c>
      <c r="B27" s="13" t="s">
        <v>848</v>
      </c>
      <c r="C27" s="13"/>
      <c r="D27" s="13"/>
      <c r="E27" s="13"/>
      <c r="F27" s="13"/>
      <c r="G27" s="13"/>
      <c r="H27" s="13"/>
    </row>
    <row r="28" spans="1:8" ht="30" customHeight="1">
      <c r="A28" s="14" t="s">
        <v>847</v>
      </c>
      <c r="B28" s="14" t="s">
        <v>848</v>
      </c>
      <c r="C28" s="15" t="s">
        <v>849</v>
      </c>
      <c r="D28" s="16" t="s">
        <v>850</v>
      </c>
      <c r="E28" s="17">
        <v>2</v>
      </c>
      <c r="F28" s="18" t="s">
        <v>73</v>
      </c>
      <c r="G28" s="16"/>
      <c r="H28" s="16"/>
    </row>
    <row r="29" spans="1:8" ht="30" customHeight="1">
      <c r="A29" s="19" t="s">
        <v>847</v>
      </c>
      <c r="B29" s="19" t="s">
        <v>848</v>
      </c>
      <c r="C29" s="20" t="s">
        <v>851</v>
      </c>
      <c r="D29" s="21" t="s">
        <v>852</v>
      </c>
      <c r="E29" s="23">
        <v>3</v>
      </c>
      <c r="F29" s="18" t="s">
        <v>45</v>
      </c>
      <c r="G29" s="21"/>
      <c r="H29" s="21"/>
    </row>
    <row r="30" spans="1:8" ht="18" customHeight="1">
      <c r="A30" s="13" t="s">
        <v>853</v>
      </c>
      <c r="B30" s="13" t="s">
        <v>854</v>
      </c>
      <c r="C30" s="13"/>
      <c r="D30" s="13"/>
      <c r="E30" s="13"/>
      <c r="F30" s="13"/>
      <c r="G30" s="13"/>
      <c r="H30" s="13"/>
    </row>
    <row r="31" spans="1:8" ht="30" customHeight="1">
      <c r="A31" s="14" t="s">
        <v>853</v>
      </c>
      <c r="B31" s="14" t="s">
        <v>854</v>
      </c>
      <c r="C31" s="15" t="s">
        <v>855</v>
      </c>
      <c r="D31" s="16" t="s">
        <v>856</v>
      </c>
      <c r="E31" s="23">
        <v>3</v>
      </c>
      <c r="F31" s="18" t="s">
        <v>73</v>
      </c>
      <c r="G31" s="16"/>
      <c r="H31" s="16"/>
    </row>
    <row r="32" spans="1:8" ht="30" customHeight="1">
      <c r="A32" s="19" t="s">
        <v>853</v>
      </c>
      <c r="B32" s="19" t="s">
        <v>854</v>
      </c>
      <c r="C32" s="20" t="s">
        <v>857</v>
      </c>
      <c r="D32" s="21" t="s">
        <v>858</v>
      </c>
      <c r="E32" s="23">
        <v>3</v>
      </c>
      <c r="F32" s="18" t="s">
        <v>45</v>
      </c>
      <c r="G32" s="21"/>
      <c r="H32" s="21"/>
    </row>
  </sheetData>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2" xr:uid="{00000000-0002-0000-0B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zoomScale="75" zoomScaleNormal="75" workbookViewId="0">
      <pane ySplit="1" topLeftCell="A2" activePane="bottomLeft" state="frozen"/>
      <selection pane="bottomLeft" activeCell="H14" sqref="H14"/>
    </sheetView>
  </sheetViews>
  <sheetFormatPr defaultColWidth="8.5703125" defaultRowHeight="14.4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c r="A1" s="12" t="s">
        <v>33</v>
      </c>
      <c r="B1" s="12" t="s">
        <v>34</v>
      </c>
      <c r="C1" s="12" t="s">
        <v>35</v>
      </c>
      <c r="D1" s="12" t="s">
        <v>36</v>
      </c>
      <c r="E1" s="12" t="s">
        <v>37</v>
      </c>
      <c r="F1" s="12" t="s">
        <v>38</v>
      </c>
      <c r="G1" s="12" t="s">
        <v>39</v>
      </c>
      <c r="H1" s="12" t="s">
        <v>40</v>
      </c>
    </row>
    <row r="2" spans="1:8" ht="18" customHeight="1">
      <c r="A2" s="13" t="s">
        <v>859</v>
      </c>
      <c r="B2" s="13" t="s">
        <v>860</v>
      </c>
      <c r="C2" s="13"/>
      <c r="D2" s="13"/>
      <c r="E2" s="13"/>
      <c r="F2" s="13"/>
      <c r="G2" s="13"/>
      <c r="H2" s="13"/>
    </row>
    <row r="3" spans="1:8" ht="30" customHeight="1">
      <c r="A3" s="14" t="s">
        <v>859</v>
      </c>
      <c r="B3" s="14" t="s">
        <v>860</v>
      </c>
      <c r="C3" s="15" t="s">
        <v>861</v>
      </c>
      <c r="D3" s="16" t="s">
        <v>862</v>
      </c>
      <c r="E3" s="22">
        <v>1</v>
      </c>
      <c r="F3" s="18" t="s">
        <v>55</v>
      </c>
      <c r="G3" s="16" t="s">
        <v>863</v>
      </c>
      <c r="H3" s="16" t="s">
        <v>326</v>
      </c>
    </row>
    <row r="4" spans="1:8" ht="30" customHeight="1">
      <c r="A4" s="19" t="s">
        <v>859</v>
      </c>
      <c r="B4" s="19" t="s">
        <v>860</v>
      </c>
      <c r="C4" s="20" t="s">
        <v>864</v>
      </c>
      <c r="D4" s="21" t="s">
        <v>865</v>
      </c>
      <c r="E4" s="17">
        <v>2</v>
      </c>
      <c r="F4" s="18" t="s">
        <v>45</v>
      </c>
      <c r="G4" s="21" t="s">
        <v>866</v>
      </c>
      <c r="H4" s="21"/>
    </row>
    <row r="5" spans="1:8" ht="30" customHeight="1">
      <c r="A5" s="14" t="s">
        <v>859</v>
      </c>
      <c r="B5" s="14" t="s">
        <v>860</v>
      </c>
      <c r="C5" s="15" t="s">
        <v>867</v>
      </c>
      <c r="D5" s="16" t="s">
        <v>868</v>
      </c>
      <c r="E5" s="17">
        <v>2</v>
      </c>
      <c r="F5" s="18" t="s">
        <v>73</v>
      </c>
      <c r="G5" s="16" t="s">
        <v>869</v>
      </c>
      <c r="H5" s="16"/>
    </row>
    <row r="6" spans="1:8" ht="30" customHeight="1">
      <c r="A6" s="19" t="s">
        <v>859</v>
      </c>
      <c r="B6" s="19" t="s">
        <v>860</v>
      </c>
      <c r="C6" s="20" t="s">
        <v>870</v>
      </c>
      <c r="D6" s="21" t="s">
        <v>871</v>
      </c>
      <c r="E6" s="23">
        <v>3</v>
      </c>
      <c r="F6" s="18" t="s">
        <v>45</v>
      </c>
      <c r="G6" s="21" t="s">
        <v>872</v>
      </c>
      <c r="H6" s="21"/>
    </row>
    <row r="7" spans="1:8" ht="30" customHeight="1">
      <c r="A7" s="14" t="s">
        <v>859</v>
      </c>
      <c r="B7" s="14" t="s">
        <v>860</v>
      </c>
      <c r="C7" s="15" t="s">
        <v>873</v>
      </c>
      <c r="D7" s="16" t="s">
        <v>874</v>
      </c>
      <c r="E7" s="23">
        <v>3</v>
      </c>
      <c r="F7" s="18" t="s">
        <v>45</v>
      </c>
      <c r="G7" s="16" t="s">
        <v>875</v>
      </c>
      <c r="H7" s="16"/>
    </row>
    <row r="8" spans="1:8" ht="18" customHeight="1">
      <c r="A8" s="13" t="s">
        <v>876</v>
      </c>
      <c r="B8" s="13" t="s">
        <v>877</v>
      </c>
      <c r="C8" s="13"/>
      <c r="D8" s="13"/>
      <c r="E8" s="13"/>
      <c r="F8" s="13"/>
      <c r="G8" s="13"/>
      <c r="H8" s="13"/>
    </row>
    <row r="9" spans="1:8" ht="30" customHeight="1">
      <c r="A9" s="14" t="s">
        <v>876</v>
      </c>
      <c r="B9" s="14" t="s">
        <v>877</v>
      </c>
      <c r="C9" s="15" t="s">
        <v>878</v>
      </c>
      <c r="D9" s="16" t="s">
        <v>879</v>
      </c>
      <c r="E9" s="22">
        <v>1</v>
      </c>
      <c r="F9" s="18" t="s">
        <v>48</v>
      </c>
      <c r="G9" s="16" t="s">
        <v>880</v>
      </c>
      <c r="H9" s="24" t="s">
        <v>881</v>
      </c>
    </row>
    <row r="10" spans="1:8" ht="30" customHeight="1">
      <c r="A10" s="19" t="s">
        <v>876</v>
      </c>
      <c r="B10" s="19" t="s">
        <v>877</v>
      </c>
      <c r="C10" s="20" t="s">
        <v>882</v>
      </c>
      <c r="D10" s="21" t="s">
        <v>883</v>
      </c>
      <c r="E10" s="22">
        <v>1</v>
      </c>
      <c r="F10" s="18" t="s">
        <v>45</v>
      </c>
      <c r="G10" s="21"/>
      <c r="H10" s="21"/>
    </row>
    <row r="11" spans="1:8" ht="18" customHeight="1">
      <c r="A11" s="13" t="s">
        <v>884</v>
      </c>
      <c r="B11" s="13" t="s">
        <v>885</v>
      </c>
      <c r="C11" s="13"/>
      <c r="D11" s="13"/>
      <c r="E11" s="13"/>
      <c r="F11" s="13"/>
      <c r="G11" s="13"/>
      <c r="H11" s="13"/>
    </row>
    <row r="12" spans="1:8" ht="30" customHeight="1">
      <c r="A12" s="14" t="s">
        <v>884</v>
      </c>
      <c r="B12" s="14" t="s">
        <v>885</v>
      </c>
      <c r="C12" s="15" t="s">
        <v>886</v>
      </c>
      <c r="D12" s="16" t="s">
        <v>887</v>
      </c>
      <c r="E12" s="17">
        <v>2</v>
      </c>
      <c r="F12" s="18" t="s">
        <v>55</v>
      </c>
      <c r="G12" s="16" t="s">
        <v>888</v>
      </c>
      <c r="H12" s="16" t="s">
        <v>326</v>
      </c>
    </row>
    <row r="13" spans="1:8" ht="30" customHeight="1">
      <c r="A13" s="19" t="s">
        <v>884</v>
      </c>
      <c r="B13" s="19" t="s">
        <v>885</v>
      </c>
      <c r="C13" s="20" t="s">
        <v>889</v>
      </c>
      <c r="D13" s="21" t="s">
        <v>890</v>
      </c>
      <c r="E13" s="17">
        <v>2</v>
      </c>
      <c r="F13" s="18" t="s">
        <v>45</v>
      </c>
      <c r="G13" s="21"/>
      <c r="H13" s="21"/>
    </row>
    <row r="14" spans="1:8" ht="30" customHeight="1">
      <c r="A14" s="14" t="s">
        <v>884</v>
      </c>
      <c r="B14" s="14" t="s">
        <v>885</v>
      </c>
      <c r="C14" s="15" t="s">
        <v>891</v>
      </c>
      <c r="D14" s="16" t="s">
        <v>892</v>
      </c>
      <c r="E14" s="17">
        <v>2</v>
      </c>
      <c r="F14" s="18" t="s">
        <v>55</v>
      </c>
      <c r="G14" s="16" t="s">
        <v>893</v>
      </c>
      <c r="H14" s="16" t="s">
        <v>326</v>
      </c>
    </row>
    <row r="15" spans="1:8" ht="30" customHeight="1">
      <c r="A15" s="19" t="s">
        <v>884</v>
      </c>
      <c r="B15" s="19" t="s">
        <v>885</v>
      </c>
      <c r="C15" s="20" t="s">
        <v>894</v>
      </c>
      <c r="D15" s="21" t="s">
        <v>895</v>
      </c>
      <c r="E15" s="17">
        <v>2</v>
      </c>
      <c r="F15" s="18" t="s">
        <v>45</v>
      </c>
      <c r="G15" s="21"/>
      <c r="H15" s="21"/>
    </row>
    <row r="16" spans="1:8" ht="30" customHeight="1">
      <c r="A16" s="14" t="s">
        <v>884</v>
      </c>
      <c r="B16" s="14" t="s">
        <v>885</v>
      </c>
      <c r="C16" s="15" t="s">
        <v>896</v>
      </c>
      <c r="D16" s="16" t="s">
        <v>897</v>
      </c>
      <c r="E16" s="23">
        <v>3</v>
      </c>
      <c r="F16" s="18" t="s">
        <v>45</v>
      </c>
      <c r="G16" s="16"/>
      <c r="H16" s="16"/>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0C00-000000000000}">
      <formula1>"Not Started,In Progress,Compliant,Not Applicable"</formula1>
      <formula2>0</formula2>
    </dataValidation>
  </dataValidations>
  <hyperlinks>
    <hyperlink ref="H9" r:id="rId1" xr:uid="{F3655D59-F9A6-47DA-93D8-9497D815C32E}"/>
  </hyperlinks>
  <pageMargins left="0.75" right="0.75" top="1" bottom="1" header="0.51180555555555496" footer="0.51180555555555496"/>
  <pageSetup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6"/>
  <sheetViews>
    <sheetView zoomScale="75" zoomScaleNormal="75" workbookViewId="0">
      <pane ySplit="1" topLeftCell="A2" activePane="bottomLeft" state="frozen"/>
      <selection pane="bottomLeft" activeCell="F16" sqref="F16"/>
    </sheetView>
  </sheetViews>
  <sheetFormatPr defaultColWidth="8.5703125" defaultRowHeight="14.4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c r="A1" s="12" t="s">
        <v>33</v>
      </c>
      <c r="B1" s="12" t="s">
        <v>34</v>
      </c>
      <c r="C1" s="12" t="s">
        <v>35</v>
      </c>
      <c r="D1" s="12" t="s">
        <v>36</v>
      </c>
      <c r="E1" s="12" t="s">
        <v>37</v>
      </c>
      <c r="F1" s="12" t="s">
        <v>38</v>
      </c>
      <c r="G1" s="12" t="s">
        <v>39</v>
      </c>
      <c r="H1" s="12" t="s">
        <v>40</v>
      </c>
    </row>
    <row r="2" spans="1:8" ht="18" customHeight="1">
      <c r="A2" s="13" t="s">
        <v>898</v>
      </c>
      <c r="B2" s="13" t="s">
        <v>899</v>
      </c>
      <c r="C2" s="13"/>
      <c r="D2" s="13"/>
      <c r="E2" s="13"/>
      <c r="F2" s="13"/>
      <c r="G2" s="13"/>
      <c r="H2" s="13"/>
    </row>
    <row r="3" spans="1:8" ht="30" customHeight="1">
      <c r="A3" s="14" t="s">
        <v>898</v>
      </c>
      <c r="B3" s="14" t="s">
        <v>899</v>
      </c>
      <c r="C3" s="15" t="s">
        <v>900</v>
      </c>
      <c r="D3" s="16" t="s">
        <v>901</v>
      </c>
      <c r="E3" s="17">
        <v>2</v>
      </c>
      <c r="F3" s="18" t="s">
        <v>45</v>
      </c>
      <c r="G3" s="16"/>
      <c r="H3" s="16"/>
    </row>
    <row r="4" spans="1:8" ht="30" customHeight="1">
      <c r="A4" s="19" t="s">
        <v>898</v>
      </c>
      <c r="B4" s="19" t="s">
        <v>899</v>
      </c>
      <c r="C4" s="20" t="s">
        <v>902</v>
      </c>
      <c r="D4" s="21" t="s">
        <v>903</v>
      </c>
      <c r="E4" s="23">
        <v>3</v>
      </c>
      <c r="F4" s="18" t="s">
        <v>45</v>
      </c>
      <c r="G4" s="21"/>
      <c r="H4" s="21"/>
    </row>
    <row r="5" spans="1:8" ht="30" customHeight="1">
      <c r="A5" s="14" t="s">
        <v>898</v>
      </c>
      <c r="B5" s="14" t="s">
        <v>899</v>
      </c>
      <c r="C5" s="15" t="s">
        <v>904</v>
      </c>
      <c r="D5" s="16" t="s">
        <v>905</v>
      </c>
      <c r="E5" s="23">
        <v>3</v>
      </c>
      <c r="F5" s="18" t="s">
        <v>45</v>
      </c>
      <c r="G5" s="16"/>
      <c r="H5" s="16"/>
    </row>
    <row r="6" spans="1:8" ht="30" customHeight="1">
      <c r="A6" s="19" t="s">
        <v>898</v>
      </c>
      <c r="B6" s="19" t="s">
        <v>899</v>
      </c>
      <c r="C6" s="20" t="s">
        <v>906</v>
      </c>
      <c r="D6" s="21" t="s">
        <v>907</v>
      </c>
      <c r="E6" s="23">
        <v>3</v>
      </c>
      <c r="F6" s="18" t="s">
        <v>45</v>
      </c>
      <c r="G6" s="21"/>
      <c r="H6" s="21"/>
    </row>
    <row r="7" spans="1:8" ht="18" customHeight="1">
      <c r="A7" s="13" t="s">
        <v>908</v>
      </c>
      <c r="B7" s="13" t="s">
        <v>909</v>
      </c>
      <c r="C7" s="13"/>
      <c r="D7" s="13"/>
      <c r="E7" s="13"/>
      <c r="F7" s="13"/>
      <c r="G7" s="13"/>
      <c r="H7" s="13"/>
    </row>
    <row r="8" spans="1:8" ht="30" customHeight="1">
      <c r="A8" s="14" t="s">
        <v>908</v>
      </c>
      <c r="B8" s="14" t="s">
        <v>909</v>
      </c>
      <c r="C8" s="15" t="s">
        <v>910</v>
      </c>
      <c r="D8" s="16" t="s">
        <v>911</v>
      </c>
      <c r="E8" s="17">
        <v>2</v>
      </c>
      <c r="F8" s="18" t="s">
        <v>45</v>
      </c>
      <c r="G8" s="16"/>
      <c r="H8" s="16"/>
    </row>
    <row r="9" spans="1:8" ht="30" customHeight="1">
      <c r="A9" s="19" t="s">
        <v>908</v>
      </c>
      <c r="B9" s="19" t="s">
        <v>909</v>
      </c>
      <c r="C9" s="20" t="s">
        <v>912</v>
      </c>
      <c r="D9" s="21" t="s">
        <v>913</v>
      </c>
      <c r="E9" s="17">
        <v>2</v>
      </c>
      <c r="F9" s="18" t="s">
        <v>45</v>
      </c>
      <c r="G9" s="21"/>
      <c r="H9" s="21"/>
    </row>
    <row r="10" spans="1:8" ht="30" customHeight="1">
      <c r="A10" s="14" t="s">
        <v>908</v>
      </c>
      <c r="B10" s="14" t="s">
        <v>909</v>
      </c>
      <c r="C10" s="15" t="s">
        <v>914</v>
      </c>
      <c r="D10" s="16" t="s">
        <v>915</v>
      </c>
      <c r="E10" s="17">
        <v>2</v>
      </c>
      <c r="F10" s="18" t="s">
        <v>48</v>
      </c>
      <c r="G10" s="16" t="s">
        <v>916</v>
      </c>
      <c r="H10" s="24" t="s">
        <v>917</v>
      </c>
    </row>
    <row r="11" spans="1:8" ht="30" customHeight="1">
      <c r="A11" s="19" t="s">
        <v>908</v>
      </c>
      <c r="B11" s="19" t="s">
        <v>909</v>
      </c>
      <c r="C11" s="20" t="s">
        <v>918</v>
      </c>
      <c r="D11" s="21" t="s">
        <v>919</v>
      </c>
      <c r="E11" s="17">
        <v>2</v>
      </c>
      <c r="F11" s="18" t="s">
        <v>48</v>
      </c>
      <c r="G11" s="21"/>
      <c r="H11" s="21"/>
    </row>
    <row r="12" spans="1:8" ht="30" customHeight="1">
      <c r="A12" s="14" t="s">
        <v>908</v>
      </c>
      <c r="B12" s="14" t="s">
        <v>909</v>
      </c>
      <c r="C12" s="15" t="s">
        <v>920</v>
      </c>
      <c r="D12" s="16" t="s">
        <v>921</v>
      </c>
      <c r="E12" s="17">
        <v>2</v>
      </c>
      <c r="F12" s="18" t="s">
        <v>45</v>
      </c>
      <c r="G12" s="16" t="s">
        <v>922</v>
      </c>
      <c r="H12" s="16" t="s">
        <v>917</v>
      </c>
    </row>
    <row r="13" spans="1:8" ht="30" customHeight="1">
      <c r="A13" s="19" t="s">
        <v>908</v>
      </c>
      <c r="B13" s="19" t="s">
        <v>909</v>
      </c>
      <c r="C13" s="20" t="s">
        <v>923</v>
      </c>
      <c r="D13" s="21" t="s">
        <v>924</v>
      </c>
      <c r="E13" s="23">
        <v>3</v>
      </c>
      <c r="F13" s="18" t="s">
        <v>45</v>
      </c>
      <c r="G13" s="21"/>
      <c r="H13" s="21"/>
    </row>
    <row r="14" spans="1:8" ht="18" customHeight="1">
      <c r="A14" s="13" t="s">
        <v>925</v>
      </c>
      <c r="B14" s="13" t="s">
        <v>926</v>
      </c>
      <c r="C14" s="13"/>
      <c r="D14" s="13"/>
      <c r="E14" s="13"/>
      <c r="F14" s="13"/>
      <c r="G14" s="13"/>
      <c r="H14" s="13"/>
    </row>
    <row r="15" spans="1:8" ht="30" customHeight="1">
      <c r="A15" s="14" t="s">
        <v>925</v>
      </c>
      <c r="B15" s="14" t="s">
        <v>926</v>
      </c>
      <c r="C15" s="15" t="s">
        <v>927</v>
      </c>
      <c r="D15" s="16" t="s">
        <v>928</v>
      </c>
      <c r="E15" s="17">
        <v>2</v>
      </c>
      <c r="F15" s="18" t="s">
        <v>55</v>
      </c>
      <c r="G15" s="16" t="s">
        <v>929</v>
      </c>
      <c r="H15" s="16"/>
    </row>
    <row r="16" spans="1:8" ht="30" customHeight="1">
      <c r="A16" s="19" t="s">
        <v>925</v>
      </c>
      <c r="B16" s="19" t="s">
        <v>926</v>
      </c>
      <c r="C16" s="20" t="s">
        <v>930</v>
      </c>
      <c r="D16" s="21" t="s">
        <v>931</v>
      </c>
      <c r="E16" s="17">
        <v>2</v>
      </c>
      <c r="F16" s="18" t="s">
        <v>45</v>
      </c>
      <c r="G16" s="21"/>
      <c r="H16" s="21"/>
    </row>
    <row r="17" spans="1:8" ht="30" customHeight="1">
      <c r="A17" s="14" t="s">
        <v>925</v>
      </c>
      <c r="B17" s="14" t="s">
        <v>926</v>
      </c>
      <c r="C17" s="15" t="s">
        <v>932</v>
      </c>
      <c r="D17" s="16" t="s">
        <v>933</v>
      </c>
      <c r="E17" s="23">
        <v>3</v>
      </c>
      <c r="F17" s="18" t="s">
        <v>45</v>
      </c>
      <c r="G17" s="16"/>
      <c r="H17" s="16"/>
    </row>
    <row r="18" spans="1:8" ht="30" customHeight="1">
      <c r="A18" s="19" t="s">
        <v>925</v>
      </c>
      <c r="B18" s="19" t="s">
        <v>926</v>
      </c>
      <c r="C18" s="20" t="s">
        <v>934</v>
      </c>
      <c r="D18" s="21" t="s">
        <v>935</v>
      </c>
      <c r="E18" s="23">
        <v>3</v>
      </c>
      <c r="F18" s="18" t="s">
        <v>45</v>
      </c>
      <c r="G18" s="21"/>
      <c r="H18" s="21"/>
    </row>
    <row r="19" spans="1:8" ht="18" customHeight="1">
      <c r="A19" s="13" t="s">
        <v>936</v>
      </c>
      <c r="B19" s="13" t="s">
        <v>937</v>
      </c>
      <c r="C19" s="13"/>
      <c r="D19" s="13"/>
      <c r="E19" s="13"/>
      <c r="F19" s="13"/>
      <c r="G19" s="13"/>
      <c r="H19" s="13"/>
    </row>
    <row r="20" spans="1:8" ht="30" customHeight="1">
      <c r="A20" s="14" t="s">
        <v>936</v>
      </c>
      <c r="B20" s="14" t="s">
        <v>937</v>
      </c>
      <c r="C20" s="15" t="s">
        <v>938</v>
      </c>
      <c r="D20" s="16" t="s">
        <v>939</v>
      </c>
      <c r="E20" s="22">
        <v>1</v>
      </c>
      <c r="F20" s="18" t="s">
        <v>45</v>
      </c>
      <c r="G20" s="16"/>
      <c r="H20" s="16"/>
    </row>
    <row r="21" spans="1:8" ht="30" customHeight="1">
      <c r="A21" s="19" t="s">
        <v>936</v>
      </c>
      <c r="B21" s="19" t="s">
        <v>937</v>
      </c>
      <c r="C21" s="20" t="s">
        <v>940</v>
      </c>
      <c r="D21" s="21" t="s">
        <v>941</v>
      </c>
      <c r="E21" s="17">
        <v>2</v>
      </c>
      <c r="F21" s="18" t="s">
        <v>45</v>
      </c>
      <c r="G21" s="21"/>
      <c r="H21" s="21"/>
    </row>
    <row r="22" spans="1:8" ht="30" customHeight="1">
      <c r="A22" s="14" t="s">
        <v>936</v>
      </c>
      <c r="B22" s="14" t="s">
        <v>937</v>
      </c>
      <c r="C22" s="15" t="s">
        <v>942</v>
      </c>
      <c r="D22" s="16" t="s">
        <v>943</v>
      </c>
      <c r="E22" s="17">
        <v>2</v>
      </c>
      <c r="F22" s="18" t="s">
        <v>45</v>
      </c>
      <c r="G22" s="16"/>
      <c r="H22" s="16"/>
    </row>
    <row r="23" spans="1:8" ht="30" customHeight="1">
      <c r="A23" s="19" t="s">
        <v>936</v>
      </c>
      <c r="B23" s="19" t="s">
        <v>937</v>
      </c>
      <c r="C23" s="20" t="s">
        <v>944</v>
      </c>
      <c r="D23" s="21" t="s">
        <v>945</v>
      </c>
      <c r="E23" s="17">
        <v>2</v>
      </c>
      <c r="F23" s="18" t="s">
        <v>48</v>
      </c>
      <c r="G23" s="21" t="s">
        <v>946</v>
      </c>
      <c r="H23" s="21"/>
    </row>
    <row r="24" spans="1:8" ht="30" customHeight="1">
      <c r="A24" s="14" t="s">
        <v>936</v>
      </c>
      <c r="B24" s="14" t="s">
        <v>937</v>
      </c>
      <c r="C24" s="15" t="s">
        <v>947</v>
      </c>
      <c r="D24" s="16" t="s">
        <v>948</v>
      </c>
      <c r="E24" s="17">
        <v>2</v>
      </c>
      <c r="F24" s="18" t="s">
        <v>48</v>
      </c>
      <c r="G24" s="16" t="s">
        <v>949</v>
      </c>
      <c r="H24" s="16"/>
    </row>
    <row r="25" spans="1:8" ht="30" customHeight="1">
      <c r="A25" s="19" t="s">
        <v>936</v>
      </c>
      <c r="B25" s="19" t="s">
        <v>937</v>
      </c>
      <c r="C25" s="20" t="s">
        <v>950</v>
      </c>
      <c r="D25" s="21" t="s">
        <v>951</v>
      </c>
      <c r="E25" s="23">
        <v>3</v>
      </c>
      <c r="F25" s="18" t="s">
        <v>48</v>
      </c>
      <c r="G25" s="21" t="s">
        <v>952</v>
      </c>
      <c r="H25" s="21"/>
    </row>
    <row r="26" spans="1:8" ht="30" customHeight="1">
      <c r="A26" s="14" t="s">
        <v>936</v>
      </c>
      <c r="B26" s="14" t="s">
        <v>937</v>
      </c>
      <c r="C26" s="15" t="s">
        <v>953</v>
      </c>
      <c r="D26" s="16" t="s">
        <v>954</v>
      </c>
      <c r="E26" s="23">
        <v>3</v>
      </c>
      <c r="F26" s="18" t="s">
        <v>48</v>
      </c>
      <c r="G26" s="16" t="s">
        <v>955</v>
      </c>
      <c r="H26" s="16"/>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D00-000000000000}">
      <formula1>"Not Started,In Progress,Compliant,Not Applicable"</formula1>
      <formula2>0</formula2>
    </dataValidation>
  </dataValidations>
  <hyperlinks>
    <hyperlink ref="H10" r:id="rId1" xr:uid="{D285E72E-D565-40E6-9AB1-A6684E4ED5BC}"/>
  </hyperlinks>
  <pageMargins left="0.75" right="0.75" top="1" bottom="1" header="0.51180555555555496" footer="0.51180555555555496"/>
  <pageSetup firstPageNumber="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7"/>
  <sheetViews>
    <sheetView zoomScale="75" zoomScaleNormal="75" workbookViewId="0">
      <pane ySplit="1" topLeftCell="A4" activePane="bottomLeft" state="frozen"/>
      <selection pane="bottomLeft" activeCell="G17" sqref="G17"/>
    </sheetView>
  </sheetViews>
  <sheetFormatPr defaultColWidth="8.5703125" defaultRowHeight="14.4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c r="A1" s="12" t="s">
        <v>33</v>
      </c>
      <c r="B1" s="12" t="s">
        <v>34</v>
      </c>
      <c r="C1" s="12" t="s">
        <v>35</v>
      </c>
      <c r="D1" s="12" t="s">
        <v>36</v>
      </c>
      <c r="E1" s="12" t="s">
        <v>37</v>
      </c>
      <c r="F1" s="12" t="s">
        <v>38</v>
      </c>
      <c r="G1" s="12" t="s">
        <v>39</v>
      </c>
      <c r="H1" s="12" t="s">
        <v>40</v>
      </c>
    </row>
    <row r="2" spans="1:8" ht="18" customHeight="1">
      <c r="A2" s="13" t="s">
        <v>956</v>
      </c>
      <c r="B2" s="13" t="s">
        <v>957</v>
      </c>
      <c r="C2" s="13"/>
      <c r="D2" s="13"/>
      <c r="E2" s="13"/>
      <c r="F2" s="13"/>
      <c r="G2" s="13"/>
      <c r="H2" s="13"/>
    </row>
    <row r="3" spans="1:8" ht="30" customHeight="1">
      <c r="A3" s="14" t="s">
        <v>956</v>
      </c>
      <c r="B3" s="14" t="s">
        <v>957</v>
      </c>
      <c r="C3" s="15" t="s">
        <v>958</v>
      </c>
      <c r="D3" s="16" t="s">
        <v>959</v>
      </c>
      <c r="E3" s="17">
        <v>2</v>
      </c>
      <c r="F3" s="18" t="s">
        <v>48</v>
      </c>
      <c r="G3" s="16"/>
      <c r="H3" s="16" t="s">
        <v>960</v>
      </c>
    </row>
    <row r="4" spans="1:8" ht="30" customHeight="1">
      <c r="A4" s="19" t="s">
        <v>956</v>
      </c>
      <c r="B4" s="19" t="s">
        <v>957</v>
      </c>
      <c r="C4" s="20" t="s">
        <v>961</v>
      </c>
      <c r="D4" s="21" t="s">
        <v>962</v>
      </c>
      <c r="E4" s="17">
        <v>2</v>
      </c>
      <c r="F4" s="18" t="s">
        <v>48</v>
      </c>
      <c r="G4" s="21"/>
      <c r="H4" s="21" t="s">
        <v>963</v>
      </c>
    </row>
    <row r="5" spans="1:8" ht="18" customHeight="1">
      <c r="A5" s="13" t="s">
        <v>964</v>
      </c>
      <c r="B5" s="13" t="s">
        <v>965</v>
      </c>
      <c r="C5" s="13"/>
      <c r="D5" s="13"/>
      <c r="E5" s="13"/>
      <c r="F5" s="13"/>
      <c r="G5" s="13"/>
      <c r="H5" s="13"/>
    </row>
    <row r="6" spans="1:8" ht="30" customHeight="1">
      <c r="A6" s="14" t="s">
        <v>964</v>
      </c>
      <c r="B6" s="14" t="s">
        <v>965</v>
      </c>
      <c r="C6" s="15" t="s">
        <v>966</v>
      </c>
      <c r="D6" s="16" t="s">
        <v>967</v>
      </c>
      <c r="E6" s="22">
        <v>1</v>
      </c>
      <c r="F6" s="18" t="s">
        <v>48</v>
      </c>
      <c r="G6" s="16" t="s">
        <v>968</v>
      </c>
      <c r="H6" s="16" t="s">
        <v>969</v>
      </c>
    </row>
    <row r="7" spans="1:8" ht="30" customHeight="1">
      <c r="A7" s="19" t="s">
        <v>964</v>
      </c>
      <c r="B7" s="19" t="s">
        <v>965</v>
      </c>
      <c r="C7" s="20" t="s">
        <v>970</v>
      </c>
      <c r="D7" s="21" t="s">
        <v>971</v>
      </c>
      <c r="E7" s="17">
        <v>2</v>
      </c>
      <c r="F7" s="18" t="s">
        <v>48</v>
      </c>
      <c r="G7" s="21" t="s">
        <v>972</v>
      </c>
      <c r="H7" s="25" t="s">
        <v>973</v>
      </c>
    </row>
    <row r="8" spans="1:8" ht="30" customHeight="1">
      <c r="A8" s="14" t="s">
        <v>964</v>
      </c>
      <c r="B8" s="14" t="s">
        <v>965</v>
      </c>
      <c r="C8" s="15" t="s">
        <v>974</v>
      </c>
      <c r="D8" s="16" t="s">
        <v>975</v>
      </c>
      <c r="E8" s="17">
        <v>2</v>
      </c>
      <c r="F8" s="18" t="s">
        <v>48</v>
      </c>
      <c r="G8" s="16" t="s">
        <v>976</v>
      </c>
      <c r="H8" s="16" t="s">
        <v>969</v>
      </c>
    </row>
    <row r="9" spans="1:8" ht="30" customHeight="1">
      <c r="A9" s="19" t="s">
        <v>964</v>
      </c>
      <c r="B9" s="19" t="s">
        <v>965</v>
      </c>
      <c r="C9" s="20" t="s">
        <v>977</v>
      </c>
      <c r="D9" s="21" t="s">
        <v>978</v>
      </c>
      <c r="E9" s="17">
        <v>2</v>
      </c>
      <c r="F9" s="18" t="s">
        <v>48</v>
      </c>
      <c r="G9" s="21" t="s">
        <v>979</v>
      </c>
      <c r="H9" s="25" t="s">
        <v>973</v>
      </c>
    </row>
    <row r="10" spans="1:8" ht="30" customHeight="1">
      <c r="A10" s="14" t="s">
        <v>964</v>
      </c>
      <c r="B10" s="14" t="s">
        <v>965</v>
      </c>
      <c r="C10" s="15" t="s">
        <v>980</v>
      </c>
      <c r="D10" s="16" t="s">
        <v>981</v>
      </c>
      <c r="E10" s="23">
        <v>3</v>
      </c>
      <c r="F10" s="18" t="s">
        <v>45</v>
      </c>
      <c r="G10" s="16"/>
      <c r="H10" s="16"/>
    </row>
    <row r="11" spans="1:8" ht="30" customHeight="1">
      <c r="A11" s="19" t="s">
        <v>964</v>
      </c>
      <c r="B11" s="19" t="s">
        <v>965</v>
      </c>
      <c r="C11" s="20" t="s">
        <v>982</v>
      </c>
      <c r="D11" s="21" t="s">
        <v>983</v>
      </c>
      <c r="E11" s="23">
        <v>3</v>
      </c>
      <c r="F11" s="18" t="s">
        <v>45</v>
      </c>
      <c r="G11" s="21"/>
      <c r="H11" s="21"/>
    </row>
    <row r="12" spans="1:8" ht="30" customHeight="1">
      <c r="A12" s="14" t="s">
        <v>964</v>
      </c>
      <c r="B12" s="14" t="s">
        <v>965</v>
      </c>
      <c r="C12" s="15" t="s">
        <v>984</v>
      </c>
      <c r="D12" s="16" t="s">
        <v>985</v>
      </c>
      <c r="E12" s="23">
        <v>3</v>
      </c>
      <c r="F12" s="18" t="s">
        <v>45</v>
      </c>
      <c r="G12" s="16"/>
      <c r="H12" s="16"/>
    </row>
    <row r="13" spans="1:8" ht="30" customHeight="1">
      <c r="A13" s="19" t="s">
        <v>964</v>
      </c>
      <c r="B13" s="19" t="s">
        <v>965</v>
      </c>
      <c r="C13" s="20" t="s">
        <v>986</v>
      </c>
      <c r="D13" s="21" t="s">
        <v>987</v>
      </c>
      <c r="E13" s="23">
        <v>3</v>
      </c>
      <c r="F13" s="18" t="s">
        <v>45</v>
      </c>
      <c r="G13" s="21"/>
      <c r="H13" s="21"/>
    </row>
    <row r="14" spans="1:8" ht="18" customHeight="1">
      <c r="A14" s="13" t="s">
        <v>988</v>
      </c>
      <c r="B14" s="13" t="s">
        <v>989</v>
      </c>
      <c r="C14" s="13"/>
      <c r="D14" s="13"/>
      <c r="E14" s="13"/>
      <c r="F14" s="13"/>
      <c r="G14" s="13"/>
      <c r="H14" s="13"/>
    </row>
    <row r="15" spans="1:8" ht="30" customHeight="1">
      <c r="A15" s="14" t="s">
        <v>988</v>
      </c>
      <c r="B15" s="14" t="s">
        <v>989</v>
      </c>
      <c r="C15" s="15" t="s">
        <v>990</v>
      </c>
      <c r="D15" s="16" t="s">
        <v>991</v>
      </c>
      <c r="E15" s="22">
        <v>1</v>
      </c>
      <c r="F15" s="18" t="s">
        <v>48</v>
      </c>
      <c r="G15" s="16" t="s">
        <v>992</v>
      </c>
      <c r="H15" s="16" t="s">
        <v>973</v>
      </c>
    </row>
    <row r="16" spans="1:8" ht="30" customHeight="1">
      <c r="A16" s="19" t="s">
        <v>988</v>
      </c>
      <c r="B16" s="19" t="s">
        <v>989</v>
      </c>
      <c r="C16" s="20" t="s">
        <v>993</v>
      </c>
      <c r="D16" s="21" t="s">
        <v>994</v>
      </c>
      <c r="E16" s="17">
        <v>2</v>
      </c>
      <c r="F16" s="18" t="s">
        <v>48</v>
      </c>
      <c r="G16" s="21" t="s">
        <v>995</v>
      </c>
      <c r="H16" s="16" t="s">
        <v>973</v>
      </c>
    </row>
    <row r="17" spans="1:8" ht="30" customHeight="1">
      <c r="A17" s="14" t="s">
        <v>988</v>
      </c>
      <c r="B17" s="14" t="s">
        <v>989</v>
      </c>
      <c r="C17" s="15" t="s">
        <v>996</v>
      </c>
      <c r="D17" s="16" t="s">
        <v>997</v>
      </c>
      <c r="E17" s="17">
        <v>2</v>
      </c>
      <c r="F17" s="18" t="s">
        <v>73</v>
      </c>
      <c r="G17" s="16"/>
      <c r="H17" s="16"/>
    </row>
  </sheetData>
  <conditionalFormatting sqref="F2:F17">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7" xr:uid="{00000000-0002-0000-0E00-000000000000}">
      <formula1>"Not Started,In Progress,Compliant,Not Applicable"</formula1>
      <formula2>0</formula2>
    </dataValidation>
  </dataValidations>
  <hyperlinks>
    <hyperlink ref="H7" r:id="rId1" xr:uid="{712727B8-F8D3-44FA-8AB4-B35D590B9A80}"/>
    <hyperlink ref="H9" r:id="rId2" xr:uid="{17007BF0-94A4-434A-A8E4-0F1A5FAD85E5}"/>
  </hyperlinks>
  <pageMargins left="0.75" right="0.75" top="1" bottom="1" header="0.51180555555555496" footer="0.51180555555555496"/>
  <pageSetup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6"/>
  <sheetViews>
    <sheetView zoomScale="75" zoomScaleNormal="75" workbookViewId="0">
      <pane ySplit="1" topLeftCell="A4" activePane="bottomLeft" state="frozen"/>
      <selection pane="bottomLeft" activeCell="G15" sqref="G15"/>
    </sheetView>
  </sheetViews>
  <sheetFormatPr defaultColWidth="8.5703125" defaultRowHeight="14.4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c r="A1" s="12" t="s">
        <v>33</v>
      </c>
      <c r="B1" s="12" t="s">
        <v>34</v>
      </c>
      <c r="C1" s="12" t="s">
        <v>35</v>
      </c>
      <c r="D1" s="12" t="s">
        <v>36</v>
      </c>
      <c r="E1" s="12" t="s">
        <v>37</v>
      </c>
      <c r="F1" s="12" t="s">
        <v>38</v>
      </c>
      <c r="G1" s="12" t="s">
        <v>39</v>
      </c>
      <c r="H1" s="12" t="s">
        <v>40</v>
      </c>
    </row>
    <row r="2" spans="1:8" ht="18" customHeight="1">
      <c r="A2" s="13" t="s">
        <v>998</v>
      </c>
      <c r="B2" s="13" t="s">
        <v>999</v>
      </c>
      <c r="C2" s="13"/>
      <c r="D2" s="13"/>
      <c r="E2" s="13"/>
      <c r="F2" s="13"/>
      <c r="G2" s="13"/>
      <c r="H2" s="13"/>
    </row>
    <row r="3" spans="1:8" ht="30" customHeight="1">
      <c r="A3" s="14" t="s">
        <v>998</v>
      </c>
      <c r="B3" s="14" t="s">
        <v>999</v>
      </c>
      <c r="C3" s="15" t="s">
        <v>1000</v>
      </c>
      <c r="D3" s="16" t="s">
        <v>1001</v>
      </c>
      <c r="E3" s="22">
        <v>1</v>
      </c>
      <c r="F3" s="18" t="s">
        <v>48</v>
      </c>
      <c r="G3" s="16"/>
      <c r="H3" s="16" t="s">
        <v>1002</v>
      </c>
    </row>
    <row r="4" spans="1:8" ht="30" customHeight="1">
      <c r="A4" s="19" t="s">
        <v>998</v>
      </c>
      <c r="B4" s="19" t="s">
        <v>999</v>
      </c>
      <c r="C4" s="20" t="s">
        <v>1003</v>
      </c>
      <c r="D4" s="21" t="s">
        <v>1004</v>
      </c>
      <c r="E4" s="17">
        <v>2</v>
      </c>
      <c r="F4" s="18" t="s">
        <v>48</v>
      </c>
      <c r="G4" s="21" t="s">
        <v>1005</v>
      </c>
      <c r="H4" s="21" t="s">
        <v>1006</v>
      </c>
    </row>
    <row r="5" spans="1:8" ht="30" customHeight="1">
      <c r="A5" s="14" t="s">
        <v>998</v>
      </c>
      <c r="B5" s="14" t="s">
        <v>999</v>
      </c>
      <c r="C5" s="15" t="s">
        <v>1007</v>
      </c>
      <c r="D5" s="16" t="s">
        <v>1008</v>
      </c>
      <c r="E5" s="17">
        <v>2</v>
      </c>
      <c r="F5" s="18" t="s">
        <v>45</v>
      </c>
      <c r="G5" s="16"/>
      <c r="H5" s="16"/>
    </row>
    <row r="6" spans="1:8" ht="30" customHeight="1">
      <c r="A6" s="19" t="s">
        <v>998</v>
      </c>
      <c r="B6" s="19" t="s">
        <v>999</v>
      </c>
      <c r="C6" s="20" t="s">
        <v>1009</v>
      </c>
      <c r="D6" s="21" t="s">
        <v>1010</v>
      </c>
      <c r="E6" s="23">
        <v>3</v>
      </c>
      <c r="F6" s="18" t="s">
        <v>45</v>
      </c>
      <c r="G6" s="21"/>
      <c r="H6" s="21"/>
    </row>
    <row r="7" spans="1:8" ht="30" customHeight="1">
      <c r="A7" s="14" t="s">
        <v>998</v>
      </c>
      <c r="B7" s="14" t="s">
        <v>999</v>
      </c>
      <c r="C7" s="15" t="s">
        <v>1011</v>
      </c>
      <c r="D7" s="16" t="s">
        <v>1012</v>
      </c>
      <c r="E7" s="23">
        <v>3</v>
      </c>
      <c r="F7" s="18" t="s">
        <v>45</v>
      </c>
      <c r="G7" s="16"/>
      <c r="H7" s="16"/>
    </row>
    <row r="8" spans="1:8" ht="18" customHeight="1">
      <c r="A8" s="13" t="s">
        <v>1013</v>
      </c>
      <c r="B8" s="13" t="s">
        <v>1014</v>
      </c>
      <c r="C8" s="13"/>
      <c r="D8" s="13"/>
      <c r="E8" s="13"/>
      <c r="F8" s="13"/>
      <c r="G8" s="13"/>
      <c r="H8" s="13"/>
    </row>
    <row r="9" spans="1:8" ht="30" customHeight="1">
      <c r="A9" s="14" t="s">
        <v>1013</v>
      </c>
      <c r="B9" s="14" t="s">
        <v>1014</v>
      </c>
      <c r="C9" s="15" t="s">
        <v>1015</v>
      </c>
      <c r="D9" s="16" t="s">
        <v>1016</v>
      </c>
      <c r="E9" s="22">
        <v>1</v>
      </c>
      <c r="F9" s="18" t="s">
        <v>45</v>
      </c>
      <c r="G9" s="16"/>
      <c r="H9" s="16"/>
    </row>
    <row r="10" spans="1:8" ht="30" customHeight="1">
      <c r="A10" s="19" t="s">
        <v>1013</v>
      </c>
      <c r="B10" s="19" t="s">
        <v>1014</v>
      </c>
      <c r="C10" s="20" t="s">
        <v>1017</v>
      </c>
      <c r="D10" s="21" t="s">
        <v>1018</v>
      </c>
      <c r="E10" s="17">
        <v>2</v>
      </c>
      <c r="F10" s="18" t="s">
        <v>45</v>
      </c>
      <c r="G10" s="21"/>
      <c r="H10" s="21"/>
    </row>
    <row r="11" spans="1:8" ht="30" customHeight="1">
      <c r="A11" s="14" t="s">
        <v>1013</v>
      </c>
      <c r="B11" s="14" t="s">
        <v>1014</v>
      </c>
      <c r="C11" s="15" t="s">
        <v>1019</v>
      </c>
      <c r="D11" s="16" t="s">
        <v>1020</v>
      </c>
      <c r="E11" s="17">
        <v>2</v>
      </c>
      <c r="F11" s="18" t="s">
        <v>48</v>
      </c>
      <c r="G11" s="16" t="s">
        <v>1021</v>
      </c>
      <c r="H11" s="16" t="s">
        <v>1022</v>
      </c>
    </row>
    <row r="12" spans="1:8" ht="30" customHeight="1">
      <c r="A12" s="19" t="s">
        <v>1013</v>
      </c>
      <c r="B12" s="19" t="s">
        <v>1014</v>
      </c>
      <c r="C12" s="20" t="s">
        <v>1023</v>
      </c>
      <c r="D12" s="21" t="s">
        <v>1024</v>
      </c>
      <c r="E12" s="23">
        <v>3</v>
      </c>
      <c r="F12" s="18" t="s">
        <v>48</v>
      </c>
      <c r="G12" s="21" t="s">
        <v>1025</v>
      </c>
      <c r="H12" s="21" t="s">
        <v>1006</v>
      </c>
    </row>
    <row r="13" spans="1:8" ht="30" customHeight="1">
      <c r="A13" s="14" t="s">
        <v>1013</v>
      </c>
      <c r="B13" s="14" t="s">
        <v>1014</v>
      </c>
      <c r="C13" s="15" t="s">
        <v>1026</v>
      </c>
      <c r="D13" s="16" t="s">
        <v>1027</v>
      </c>
      <c r="E13" s="23">
        <v>3</v>
      </c>
      <c r="F13" s="18" t="s">
        <v>48</v>
      </c>
      <c r="G13" s="16" t="s">
        <v>1028</v>
      </c>
      <c r="H13" s="16"/>
    </row>
    <row r="14" spans="1:8" ht="18" customHeight="1">
      <c r="A14" s="13" t="s">
        <v>1029</v>
      </c>
      <c r="B14" s="13" t="s">
        <v>1030</v>
      </c>
      <c r="C14" s="13"/>
      <c r="D14" s="13"/>
      <c r="E14" s="13"/>
      <c r="F14" s="13"/>
      <c r="G14" s="13"/>
      <c r="H14" s="13"/>
    </row>
    <row r="15" spans="1:8" ht="30" customHeight="1">
      <c r="A15" s="14" t="s">
        <v>1029</v>
      </c>
      <c r="B15" s="14" t="s">
        <v>1030</v>
      </c>
      <c r="C15" s="15" t="s">
        <v>1031</v>
      </c>
      <c r="D15" s="16" t="s">
        <v>1032</v>
      </c>
      <c r="E15" s="22">
        <v>1</v>
      </c>
      <c r="F15" s="18" t="s">
        <v>48</v>
      </c>
      <c r="G15" s="16"/>
      <c r="H15" s="24" t="s">
        <v>1033</v>
      </c>
    </row>
    <row r="16" spans="1:8" ht="30" customHeight="1">
      <c r="A16" s="19" t="s">
        <v>1029</v>
      </c>
      <c r="B16" s="19" t="s">
        <v>1030</v>
      </c>
      <c r="C16" s="20" t="s">
        <v>1034</v>
      </c>
      <c r="D16" s="21" t="s">
        <v>1035</v>
      </c>
      <c r="E16" s="17">
        <v>2</v>
      </c>
      <c r="F16" s="18" t="s">
        <v>73</v>
      </c>
      <c r="G16" s="21" t="s">
        <v>1036</v>
      </c>
      <c r="H16" s="21" t="s">
        <v>1037</v>
      </c>
    </row>
    <row r="17" spans="1:8" ht="30" customHeight="1">
      <c r="A17" s="14" t="s">
        <v>1029</v>
      </c>
      <c r="B17" s="14" t="s">
        <v>1030</v>
      </c>
      <c r="C17" s="15" t="s">
        <v>1038</v>
      </c>
      <c r="D17" s="16" t="s">
        <v>1039</v>
      </c>
      <c r="E17" s="17">
        <v>2</v>
      </c>
      <c r="F17" s="18" t="s">
        <v>48</v>
      </c>
      <c r="G17" s="16"/>
      <c r="H17" s="16" t="s">
        <v>1040</v>
      </c>
    </row>
    <row r="18" spans="1:8" ht="30" customHeight="1">
      <c r="A18" s="19" t="s">
        <v>1029</v>
      </c>
      <c r="B18" s="19" t="s">
        <v>1030</v>
      </c>
      <c r="C18" s="20" t="s">
        <v>1041</v>
      </c>
      <c r="D18" s="21" t="s">
        <v>1042</v>
      </c>
      <c r="E18" s="17">
        <v>2</v>
      </c>
      <c r="F18" s="18" t="s">
        <v>48</v>
      </c>
      <c r="G18" s="21" t="s">
        <v>1043</v>
      </c>
      <c r="H18" s="21" t="s">
        <v>1044</v>
      </c>
    </row>
    <row r="19" spans="1:8" ht="30" customHeight="1">
      <c r="A19" s="14" t="s">
        <v>1029</v>
      </c>
      <c r="B19" s="14" t="s">
        <v>1030</v>
      </c>
      <c r="C19" s="15" t="s">
        <v>1045</v>
      </c>
      <c r="D19" s="16" t="s">
        <v>1046</v>
      </c>
      <c r="E19" s="17">
        <v>2</v>
      </c>
      <c r="F19" s="18" t="s">
        <v>48</v>
      </c>
      <c r="G19" s="16"/>
      <c r="H19" s="16" t="s">
        <v>1033</v>
      </c>
    </row>
    <row r="20" spans="1:8" ht="30" customHeight="1">
      <c r="A20" s="19" t="s">
        <v>1029</v>
      </c>
      <c r="B20" s="19" t="s">
        <v>1030</v>
      </c>
      <c r="C20" s="20" t="s">
        <v>1047</v>
      </c>
      <c r="D20" s="21" t="s">
        <v>1048</v>
      </c>
      <c r="E20" s="17">
        <v>2</v>
      </c>
      <c r="F20" s="18" t="s">
        <v>73</v>
      </c>
      <c r="G20" s="21" t="s">
        <v>1049</v>
      </c>
      <c r="H20" s="21"/>
    </row>
    <row r="21" spans="1:8" ht="30" customHeight="1">
      <c r="A21" s="14" t="s">
        <v>1029</v>
      </c>
      <c r="B21" s="14" t="s">
        <v>1030</v>
      </c>
      <c r="C21" s="15" t="s">
        <v>1050</v>
      </c>
      <c r="D21" s="16" t="s">
        <v>1051</v>
      </c>
      <c r="E21" s="17">
        <v>2</v>
      </c>
      <c r="F21" s="18" t="s">
        <v>48</v>
      </c>
      <c r="G21" s="16" t="s">
        <v>1052</v>
      </c>
      <c r="H21" s="16" t="s">
        <v>1053</v>
      </c>
    </row>
    <row r="22" spans="1:8" ht="18" customHeight="1">
      <c r="A22" s="13" t="s">
        <v>1054</v>
      </c>
      <c r="B22" s="13" t="s">
        <v>1055</v>
      </c>
      <c r="C22" s="13"/>
      <c r="D22" s="13"/>
      <c r="E22" s="13"/>
      <c r="F22" s="13"/>
      <c r="G22" s="13"/>
      <c r="H22" s="13"/>
    </row>
    <row r="23" spans="1:8" ht="30" customHeight="1">
      <c r="A23" s="14" t="s">
        <v>1054</v>
      </c>
      <c r="B23" s="14" t="s">
        <v>1055</v>
      </c>
      <c r="C23" s="15" t="s">
        <v>1056</v>
      </c>
      <c r="D23" s="16" t="s">
        <v>1057</v>
      </c>
      <c r="E23" s="23">
        <v>3</v>
      </c>
      <c r="F23" s="18" t="s">
        <v>48</v>
      </c>
      <c r="G23" s="16" t="s">
        <v>1058</v>
      </c>
      <c r="H23" s="24" t="s">
        <v>1059</v>
      </c>
    </row>
    <row r="24" spans="1:8" ht="30" customHeight="1">
      <c r="A24" s="19" t="s">
        <v>1054</v>
      </c>
      <c r="B24" s="19" t="s">
        <v>1055</v>
      </c>
      <c r="C24" s="20" t="s">
        <v>1060</v>
      </c>
      <c r="D24" s="21" t="s">
        <v>1061</v>
      </c>
      <c r="E24" s="23">
        <v>3</v>
      </c>
      <c r="F24" s="18" t="s">
        <v>55</v>
      </c>
      <c r="G24" s="21" t="s">
        <v>1037</v>
      </c>
      <c r="H24" s="21"/>
    </row>
    <row r="25" spans="1:8" ht="30" customHeight="1">
      <c r="A25" s="14" t="s">
        <v>1054</v>
      </c>
      <c r="B25" s="14" t="s">
        <v>1055</v>
      </c>
      <c r="C25" s="15" t="s">
        <v>1062</v>
      </c>
      <c r="D25" s="16" t="s">
        <v>1063</v>
      </c>
      <c r="E25" s="23">
        <v>3</v>
      </c>
      <c r="F25" s="18" t="s">
        <v>73</v>
      </c>
      <c r="G25" s="16"/>
      <c r="H25" s="16"/>
    </row>
    <row r="26" spans="1:8" ht="30" customHeight="1">
      <c r="A26" s="19" t="s">
        <v>1054</v>
      </c>
      <c r="B26" s="19" t="s">
        <v>1055</v>
      </c>
      <c r="C26" s="20" t="s">
        <v>1064</v>
      </c>
      <c r="D26" s="21" t="s">
        <v>1065</v>
      </c>
      <c r="E26" s="23">
        <v>3</v>
      </c>
      <c r="F26" s="18" t="s">
        <v>73</v>
      </c>
      <c r="G26" s="21"/>
      <c r="H26" s="21"/>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F00-000000000000}">
      <formula1>"Not Started,In Progress,Compliant,Not Applicable"</formula1>
      <formula2>0</formula2>
    </dataValidation>
  </dataValidations>
  <hyperlinks>
    <hyperlink ref="H15" r:id="rId1" xr:uid="{81E77D67-2E0C-4ADA-B427-75E79D3F9F7F}"/>
    <hyperlink ref="H23" r:id="rId2" xr:uid="{4E57FEFC-3E59-428D-84B7-546CFE412798}"/>
  </hyperlinks>
  <pageMargins left="0.75" right="0.75" top="1" bottom="1" header="0.51180555555555496" footer="0.51180555555555496"/>
  <pageSetup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3"/>
  <sheetViews>
    <sheetView zoomScale="75" zoomScaleNormal="75" workbookViewId="0">
      <pane ySplit="1" topLeftCell="A12" activePane="bottomLeft" state="frozen"/>
      <selection pane="bottomLeft" activeCell="F6" sqref="F6"/>
    </sheetView>
  </sheetViews>
  <sheetFormatPr defaultColWidth="8.5703125" defaultRowHeight="14.4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c r="A1" s="12" t="s">
        <v>33</v>
      </c>
      <c r="B1" s="12" t="s">
        <v>34</v>
      </c>
      <c r="C1" s="12" t="s">
        <v>35</v>
      </c>
      <c r="D1" s="12" t="s">
        <v>36</v>
      </c>
      <c r="E1" s="12" t="s">
        <v>37</v>
      </c>
      <c r="F1" s="12" t="s">
        <v>38</v>
      </c>
      <c r="G1" s="12" t="s">
        <v>39</v>
      </c>
      <c r="H1" s="12" t="s">
        <v>40</v>
      </c>
    </row>
    <row r="2" spans="1:8" ht="18" customHeight="1">
      <c r="A2" s="13" t="s">
        <v>1066</v>
      </c>
      <c r="B2" s="13" t="s">
        <v>1067</v>
      </c>
      <c r="C2" s="13"/>
      <c r="D2" s="13"/>
      <c r="E2" s="13"/>
      <c r="F2" s="13"/>
      <c r="G2" s="13"/>
      <c r="H2" s="13"/>
    </row>
    <row r="3" spans="1:8" ht="30" customHeight="1">
      <c r="A3" s="14" t="s">
        <v>1066</v>
      </c>
      <c r="B3" s="14" t="s">
        <v>1067</v>
      </c>
      <c r="C3" s="15" t="s">
        <v>1068</v>
      </c>
      <c r="D3" s="16" t="s">
        <v>1069</v>
      </c>
      <c r="E3" s="17">
        <v>2</v>
      </c>
      <c r="F3" s="18" t="s">
        <v>55</v>
      </c>
      <c r="G3" s="16" t="s">
        <v>1070</v>
      </c>
      <c r="H3" s="16" t="s">
        <v>1071</v>
      </c>
    </row>
    <row r="4" spans="1:8" ht="18" customHeight="1">
      <c r="A4" s="13" t="s">
        <v>1072</v>
      </c>
      <c r="B4" s="13" t="s">
        <v>1073</v>
      </c>
      <c r="C4" s="13"/>
      <c r="D4" s="13"/>
      <c r="E4" s="13"/>
      <c r="F4" s="13"/>
      <c r="G4" s="13"/>
      <c r="H4" s="13"/>
    </row>
    <row r="5" spans="1:8" ht="30" customHeight="1">
      <c r="A5" s="14" t="s">
        <v>1072</v>
      </c>
      <c r="B5" s="14" t="s">
        <v>1073</v>
      </c>
      <c r="C5" s="15" t="s">
        <v>1074</v>
      </c>
      <c r="D5" s="16" t="s">
        <v>1075</v>
      </c>
      <c r="E5" s="17">
        <v>2</v>
      </c>
      <c r="F5" s="18" t="s">
        <v>55</v>
      </c>
      <c r="G5" s="16" t="s">
        <v>1076</v>
      </c>
      <c r="H5" s="16" t="s">
        <v>1077</v>
      </c>
    </row>
    <row r="6" spans="1:8" ht="30" customHeight="1">
      <c r="A6" s="19" t="s">
        <v>1072</v>
      </c>
      <c r="B6" s="19" t="s">
        <v>1073</v>
      </c>
      <c r="C6" s="20" t="s">
        <v>1078</v>
      </c>
      <c r="D6" s="21" t="s">
        <v>1079</v>
      </c>
      <c r="E6" s="17">
        <v>2</v>
      </c>
      <c r="F6" s="18" t="s">
        <v>55</v>
      </c>
      <c r="G6" s="21" t="s">
        <v>1080</v>
      </c>
      <c r="H6" s="21" t="s">
        <v>1081</v>
      </c>
    </row>
    <row r="7" spans="1:8" ht="30" customHeight="1">
      <c r="A7" s="14" t="s">
        <v>1072</v>
      </c>
      <c r="B7" s="14" t="s">
        <v>1073</v>
      </c>
      <c r="C7" s="15" t="s">
        <v>1082</v>
      </c>
      <c r="D7" s="16" t="s">
        <v>1083</v>
      </c>
      <c r="E7" s="17">
        <v>2</v>
      </c>
      <c r="F7" s="18" t="s">
        <v>45</v>
      </c>
      <c r="G7" s="16"/>
      <c r="H7" s="16"/>
    </row>
    <row r="8" spans="1:8" ht="30" customHeight="1">
      <c r="A8" s="19" t="s">
        <v>1072</v>
      </c>
      <c r="B8" s="19" t="s">
        <v>1073</v>
      </c>
      <c r="C8" s="20" t="s">
        <v>1084</v>
      </c>
      <c r="D8" s="21" t="s">
        <v>1085</v>
      </c>
      <c r="E8" s="17">
        <v>2</v>
      </c>
      <c r="F8" s="18" t="s">
        <v>55</v>
      </c>
      <c r="G8" s="21" t="s">
        <v>1086</v>
      </c>
      <c r="H8" s="21" t="s">
        <v>1087</v>
      </c>
    </row>
    <row r="9" spans="1:8" ht="30" customHeight="1">
      <c r="A9" s="14" t="s">
        <v>1072</v>
      </c>
      <c r="B9" s="14" t="s">
        <v>1073</v>
      </c>
      <c r="C9" s="15" t="s">
        <v>1088</v>
      </c>
      <c r="D9" s="16" t="s">
        <v>1089</v>
      </c>
      <c r="E9" s="17">
        <v>2</v>
      </c>
      <c r="F9" s="18" t="s">
        <v>55</v>
      </c>
      <c r="G9" s="16" t="s">
        <v>1090</v>
      </c>
      <c r="H9" s="16" t="s">
        <v>1091</v>
      </c>
    </row>
    <row r="10" spans="1:8" ht="18" customHeight="1">
      <c r="A10" s="13" t="s">
        <v>1092</v>
      </c>
      <c r="B10" s="13" t="s">
        <v>1093</v>
      </c>
      <c r="C10" s="13"/>
      <c r="D10" s="13"/>
      <c r="E10" s="13"/>
      <c r="F10" s="13"/>
      <c r="G10" s="13"/>
      <c r="H10" s="13"/>
    </row>
    <row r="11" spans="1:8" ht="30" customHeight="1">
      <c r="A11" s="14" t="s">
        <v>1092</v>
      </c>
      <c r="B11" s="14" t="s">
        <v>1093</v>
      </c>
      <c r="C11" s="15" t="s">
        <v>1094</v>
      </c>
      <c r="D11" s="16" t="s">
        <v>1095</v>
      </c>
      <c r="E11" s="17">
        <v>2</v>
      </c>
      <c r="F11" s="18" t="s">
        <v>55</v>
      </c>
      <c r="G11" s="16" t="s">
        <v>1096</v>
      </c>
      <c r="H11" s="16" t="s">
        <v>1097</v>
      </c>
    </row>
    <row r="12" spans="1:8" ht="30" customHeight="1">
      <c r="A12" s="19" t="s">
        <v>1092</v>
      </c>
      <c r="B12" s="19" t="s">
        <v>1093</v>
      </c>
      <c r="C12" s="20" t="s">
        <v>1098</v>
      </c>
      <c r="D12" s="21" t="s">
        <v>1099</v>
      </c>
      <c r="E12" s="17">
        <v>2</v>
      </c>
      <c r="F12" s="18" t="s">
        <v>55</v>
      </c>
      <c r="G12" s="21" t="s">
        <v>1100</v>
      </c>
      <c r="H12" s="21" t="s">
        <v>1087</v>
      </c>
    </row>
    <row r="13" spans="1:8" ht="30" customHeight="1">
      <c r="A13" s="14" t="s">
        <v>1092</v>
      </c>
      <c r="B13" s="14" t="s">
        <v>1093</v>
      </c>
      <c r="C13" s="15" t="s">
        <v>1101</v>
      </c>
      <c r="D13" s="16" t="s">
        <v>1102</v>
      </c>
      <c r="E13" s="17">
        <v>2</v>
      </c>
      <c r="F13" s="18" t="s">
        <v>55</v>
      </c>
      <c r="G13" s="16" t="s">
        <v>1103</v>
      </c>
      <c r="H13" s="21" t="s">
        <v>1087</v>
      </c>
    </row>
    <row r="14" spans="1:8" ht="30" customHeight="1">
      <c r="A14" s="19" t="s">
        <v>1092</v>
      </c>
      <c r="B14" s="19" t="s">
        <v>1093</v>
      </c>
      <c r="C14" s="20" t="s">
        <v>1104</v>
      </c>
      <c r="D14" s="21" t="s">
        <v>1105</v>
      </c>
      <c r="E14" s="17">
        <v>2</v>
      </c>
      <c r="F14" s="18" t="s">
        <v>55</v>
      </c>
      <c r="G14" s="21" t="s">
        <v>1106</v>
      </c>
      <c r="H14" s="21" t="s">
        <v>1107</v>
      </c>
    </row>
    <row r="15" spans="1:8" ht="18" customHeight="1">
      <c r="A15" s="13" t="s">
        <v>1108</v>
      </c>
      <c r="B15" s="13" t="s">
        <v>1109</v>
      </c>
      <c r="C15" s="13"/>
      <c r="D15" s="13"/>
      <c r="E15" s="13"/>
      <c r="F15" s="13"/>
      <c r="G15" s="13"/>
      <c r="H15" s="13"/>
    </row>
    <row r="16" spans="1:8" ht="30" customHeight="1">
      <c r="A16" s="14" t="s">
        <v>1108</v>
      </c>
      <c r="B16" s="14" t="s">
        <v>1109</v>
      </c>
      <c r="C16" s="15" t="s">
        <v>1110</v>
      </c>
      <c r="D16" s="16" t="s">
        <v>1111</v>
      </c>
      <c r="E16" s="17">
        <v>2</v>
      </c>
      <c r="F16" s="18" t="s">
        <v>55</v>
      </c>
      <c r="G16" s="16" t="s">
        <v>1112</v>
      </c>
      <c r="H16" s="16" t="s">
        <v>57</v>
      </c>
    </row>
    <row r="17" spans="1:8" ht="30" customHeight="1">
      <c r="A17" s="19" t="s">
        <v>1108</v>
      </c>
      <c r="B17" s="19" t="s">
        <v>1109</v>
      </c>
      <c r="C17" s="20" t="s">
        <v>1113</v>
      </c>
      <c r="D17" s="21" t="s">
        <v>1114</v>
      </c>
      <c r="E17" s="17">
        <v>2</v>
      </c>
      <c r="F17" s="18" t="s">
        <v>55</v>
      </c>
      <c r="G17" s="21" t="s">
        <v>1115</v>
      </c>
      <c r="H17" s="21" t="s">
        <v>1087</v>
      </c>
    </row>
    <row r="18" spans="1:8" ht="30" customHeight="1">
      <c r="A18" s="14" t="s">
        <v>1108</v>
      </c>
      <c r="B18" s="14" t="s">
        <v>1109</v>
      </c>
      <c r="C18" s="15" t="s">
        <v>1116</v>
      </c>
      <c r="D18" s="16" t="s">
        <v>1117</v>
      </c>
      <c r="E18" s="17">
        <v>2</v>
      </c>
      <c r="F18" s="18" t="s">
        <v>45</v>
      </c>
      <c r="G18" s="16"/>
      <c r="H18" s="16"/>
    </row>
    <row r="19" spans="1:8" ht="18" customHeight="1">
      <c r="A19" s="13" t="s">
        <v>1118</v>
      </c>
      <c r="B19" s="13" t="s">
        <v>1119</v>
      </c>
      <c r="C19" s="13"/>
      <c r="D19" s="13"/>
      <c r="E19" s="13"/>
      <c r="F19" s="13"/>
      <c r="G19" s="13"/>
      <c r="H19" s="13"/>
    </row>
    <row r="20" spans="1:8" ht="30" customHeight="1">
      <c r="A20" s="14" t="s">
        <v>1118</v>
      </c>
      <c r="B20" s="14" t="s">
        <v>1119</v>
      </c>
      <c r="C20" s="15" t="s">
        <v>1120</v>
      </c>
      <c r="D20" s="16" t="s">
        <v>1121</v>
      </c>
      <c r="E20" s="17">
        <v>2</v>
      </c>
      <c r="F20" s="18" t="s">
        <v>55</v>
      </c>
      <c r="G20" s="16" t="s">
        <v>1122</v>
      </c>
      <c r="H20" s="16" t="s">
        <v>1091</v>
      </c>
    </row>
    <row r="21" spans="1:8" ht="30" customHeight="1">
      <c r="A21" s="19" t="s">
        <v>1118</v>
      </c>
      <c r="B21" s="19" t="s">
        <v>1119</v>
      </c>
      <c r="C21" s="20" t="s">
        <v>1123</v>
      </c>
      <c r="D21" s="21" t="s">
        <v>1124</v>
      </c>
      <c r="E21" s="17">
        <v>2</v>
      </c>
      <c r="F21" s="18" t="s">
        <v>45</v>
      </c>
    </row>
    <row r="22" spans="1:8" ht="30" customHeight="1">
      <c r="A22" s="14" t="s">
        <v>1118</v>
      </c>
      <c r="B22" s="14" t="s">
        <v>1119</v>
      </c>
      <c r="C22" s="15" t="s">
        <v>1125</v>
      </c>
      <c r="D22" s="16" t="s">
        <v>1126</v>
      </c>
      <c r="E22" s="17">
        <v>2</v>
      </c>
      <c r="F22" s="18" t="s">
        <v>55</v>
      </c>
      <c r="G22" s="21" t="s">
        <v>1127</v>
      </c>
      <c r="H22" s="21" t="s">
        <v>1128</v>
      </c>
    </row>
    <row r="23" spans="1:8" ht="30" customHeight="1">
      <c r="A23" s="19" t="s">
        <v>1118</v>
      </c>
      <c r="B23" s="19" t="s">
        <v>1119</v>
      </c>
      <c r="C23" s="20" t="s">
        <v>1129</v>
      </c>
      <c r="D23" s="21" t="s">
        <v>1130</v>
      </c>
      <c r="E23" s="23">
        <v>3</v>
      </c>
      <c r="F23" s="18" t="s">
        <v>45</v>
      </c>
      <c r="G23" s="21"/>
      <c r="H23" s="21"/>
    </row>
  </sheetData>
  <phoneticPr fontId="10" type="noConversion"/>
  <conditionalFormatting sqref="F2:F23">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3" xr:uid="{00000000-0002-0000-10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6"/>
  <sheetViews>
    <sheetView zoomScale="75" zoomScaleNormal="75" workbookViewId="0">
      <pane ySplit="1" topLeftCell="A9" activePane="bottomLeft" state="frozen"/>
      <selection pane="bottomLeft" activeCell="D12" sqref="D12"/>
    </sheetView>
  </sheetViews>
  <sheetFormatPr defaultColWidth="8.5703125" defaultRowHeight="14.4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c r="A1" s="12" t="s">
        <v>33</v>
      </c>
      <c r="B1" s="12" t="s">
        <v>34</v>
      </c>
      <c r="C1" s="12" t="s">
        <v>35</v>
      </c>
      <c r="D1" s="12" t="s">
        <v>36</v>
      </c>
      <c r="E1" s="12" t="s">
        <v>37</v>
      </c>
      <c r="F1" s="12" t="s">
        <v>38</v>
      </c>
      <c r="G1" s="12" t="s">
        <v>39</v>
      </c>
      <c r="H1" s="12" t="s">
        <v>40</v>
      </c>
    </row>
    <row r="2" spans="1:8" ht="18" customHeight="1">
      <c r="A2" s="13" t="s">
        <v>1131</v>
      </c>
      <c r="B2" s="13" t="s">
        <v>1132</v>
      </c>
      <c r="C2" s="13"/>
      <c r="D2" s="13"/>
      <c r="E2" s="13"/>
      <c r="F2" s="13"/>
      <c r="G2" s="13"/>
      <c r="H2" s="13"/>
    </row>
    <row r="3" spans="1:8" ht="30" customHeight="1">
      <c r="A3" s="14" t="s">
        <v>1131</v>
      </c>
      <c r="B3" s="14" t="s">
        <v>1132</v>
      </c>
      <c r="C3" s="15" t="s">
        <v>1133</v>
      </c>
      <c r="D3" s="16" t="s">
        <v>1134</v>
      </c>
      <c r="E3" s="17">
        <v>2</v>
      </c>
      <c r="F3" s="18" t="s">
        <v>73</v>
      </c>
      <c r="G3" s="16"/>
      <c r="H3" s="16"/>
    </row>
    <row r="4" spans="1:8" ht="30" customHeight="1">
      <c r="A4" s="19" t="s">
        <v>1131</v>
      </c>
      <c r="B4" s="19" t="s">
        <v>1132</v>
      </c>
      <c r="C4" s="20" t="s">
        <v>1135</v>
      </c>
      <c r="D4" s="21" t="s">
        <v>1136</v>
      </c>
      <c r="E4" s="23">
        <v>3</v>
      </c>
      <c r="F4" s="18" t="s">
        <v>73</v>
      </c>
      <c r="G4" s="21"/>
      <c r="H4" s="21"/>
    </row>
    <row r="5" spans="1:8" ht="18" customHeight="1">
      <c r="A5" s="13" t="s">
        <v>1137</v>
      </c>
      <c r="B5" s="13" t="s">
        <v>1138</v>
      </c>
      <c r="C5" s="13"/>
      <c r="D5" s="13"/>
      <c r="E5" s="13"/>
      <c r="F5" s="13"/>
      <c r="G5" s="13"/>
      <c r="H5" s="13"/>
    </row>
    <row r="6" spans="1:8" ht="30" customHeight="1">
      <c r="A6" s="14" t="s">
        <v>1137</v>
      </c>
      <c r="B6" s="14" t="s">
        <v>1138</v>
      </c>
      <c r="C6" s="15" t="s">
        <v>1139</v>
      </c>
      <c r="D6" s="16" t="s">
        <v>1140</v>
      </c>
      <c r="E6" s="17">
        <v>2</v>
      </c>
      <c r="F6" s="18" t="s">
        <v>73</v>
      </c>
      <c r="G6" s="16"/>
      <c r="H6" s="16"/>
    </row>
    <row r="7" spans="1:8" ht="30" customHeight="1">
      <c r="A7" s="19" t="s">
        <v>1137</v>
      </c>
      <c r="B7" s="19" t="s">
        <v>1138</v>
      </c>
      <c r="C7" s="20" t="s">
        <v>1141</v>
      </c>
      <c r="D7" s="21" t="s">
        <v>1142</v>
      </c>
      <c r="E7" s="17">
        <v>2</v>
      </c>
      <c r="F7" s="18" t="s">
        <v>73</v>
      </c>
      <c r="G7" s="21"/>
      <c r="H7" s="21"/>
    </row>
    <row r="8" spans="1:8" ht="30" customHeight="1">
      <c r="A8" s="14" t="s">
        <v>1137</v>
      </c>
      <c r="B8" s="14" t="s">
        <v>1138</v>
      </c>
      <c r="C8" s="15" t="s">
        <v>1143</v>
      </c>
      <c r="D8" s="16" t="s">
        <v>1144</v>
      </c>
      <c r="E8" s="17">
        <v>2</v>
      </c>
      <c r="F8" s="18" t="s">
        <v>73</v>
      </c>
      <c r="G8" s="16"/>
      <c r="H8" s="16"/>
    </row>
    <row r="9" spans="1:8" ht="30" customHeight="1">
      <c r="A9" s="19" t="s">
        <v>1137</v>
      </c>
      <c r="B9" s="19" t="s">
        <v>1138</v>
      </c>
      <c r="C9" s="20" t="s">
        <v>1145</v>
      </c>
      <c r="D9" s="21" t="s">
        <v>1146</v>
      </c>
      <c r="E9" s="17">
        <v>2</v>
      </c>
      <c r="F9" s="18" t="s">
        <v>73</v>
      </c>
      <c r="G9" s="21"/>
      <c r="H9" s="21"/>
    </row>
    <row r="10" spans="1:8" ht="30" customHeight="1">
      <c r="A10" s="14" t="s">
        <v>1137</v>
      </c>
      <c r="B10" s="14" t="s">
        <v>1138</v>
      </c>
      <c r="C10" s="15" t="s">
        <v>1147</v>
      </c>
      <c r="D10" s="16" t="s">
        <v>1148</v>
      </c>
      <c r="E10" s="23">
        <v>3</v>
      </c>
      <c r="F10" s="18" t="s">
        <v>73</v>
      </c>
      <c r="G10" s="16"/>
      <c r="H10" s="16"/>
    </row>
    <row r="11" spans="1:8" ht="30" customHeight="1">
      <c r="A11" s="19" t="s">
        <v>1137</v>
      </c>
      <c r="B11" s="19" t="s">
        <v>1138</v>
      </c>
      <c r="C11" s="20" t="s">
        <v>1149</v>
      </c>
      <c r="D11" s="21" t="s">
        <v>1150</v>
      </c>
      <c r="E11" s="23">
        <v>3</v>
      </c>
      <c r="F11" s="18" t="s">
        <v>73</v>
      </c>
      <c r="G11" s="21"/>
      <c r="H11" s="21"/>
    </row>
    <row r="12" spans="1:8" ht="30" customHeight="1">
      <c r="A12" s="14" t="s">
        <v>1137</v>
      </c>
      <c r="B12" s="14" t="s">
        <v>1138</v>
      </c>
      <c r="C12" s="15" t="s">
        <v>1151</v>
      </c>
      <c r="D12" s="16" t="s">
        <v>1152</v>
      </c>
      <c r="E12" s="23">
        <v>3</v>
      </c>
      <c r="F12" s="18" t="s">
        <v>73</v>
      </c>
      <c r="G12" s="16"/>
      <c r="H12" s="16"/>
    </row>
    <row r="13" spans="1:8" ht="30" customHeight="1">
      <c r="A13" s="19" t="s">
        <v>1137</v>
      </c>
      <c r="B13" s="19" t="s">
        <v>1138</v>
      </c>
      <c r="C13" s="20" t="s">
        <v>1153</v>
      </c>
      <c r="D13" s="21" t="s">
        <v>1154</v>
      </c>
      <c r="E13" s="23">
        <v>3</v>
      </c>
      <c r="F13" s="18" t="s">
        <v>73</v>
      </c>
      <c r="G13" s="21"/>
      <c r="H13" s="21"/>
    </row>
    <row r="14" spans="1:8" ht="18" customHeight="1">
      <c r="A14" s="13" t="s">
        <v>1155</v>
      </c>
      <c r="B14" s="13" t="s">
        <v>1156</v>
      </c>
      <c r="C14" s="13"/>
      <c r="D14" s="13"/>
      <c r="E14" s="13"/>
      <c r="F14" s="13"/>
      <c r="G14" s="13"/>
      <c r="H14" s="13"/>
    </row>
    <row r="15" spans="1:8" ht="30" customHeight="1">
      <c r="A15" s="14" t="s">
        <v>1155</v>
      </c>
      <c r="B15" s="14" t="s">
        <v>1156</v>
      </c>
      <c r="C15" s="15" t="s">
        <v>1157</v>
      </c>
      <c r="D15" s="16" t="s">
        <v>1158</v>
      </c>
      <c r="E15" s="17">
        <v>2</v>
      </c>
      <c r="F15" s="18" t="s">
        <v>73</v>
      </c>
      <c r="G15" s="16"/>
      <c r="H15" s="16"/>
    </row>
    <row r="16" spans="1:8" ht="30" customHeight="1">
      <c r="A16" s="19" t="s">
        <v>1155</v>
      </c>
      <c r="B16" s="19" t="s">
        <v>1156</v>
      </c>
      <c r="C16" s="20" t="s">
        <v>1159</v>
      </c>
      <c r="D16" s="21" t="s">
        <v>1160</v>
      </c>
      <c r="E16" s="17">
        <v>2</v>
      </c>
      <c r="F16" s="18" t="s">
        <v>73</v>
      </c>
      <c r="G16" s="21"/>
      <c r="H16" s="21"/>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1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268FFD435A89848A1117B5C75485225" ma:contentTypeVersion="4" ma:contentTypeDescription="Create a new document." ma:contentTypeScope="" ma:versionID="00d43730884d38da41988693f83c9fdf">
  <xsd:schema xmlns:xsd="http://www.w3.org/2001/XMLSchema" xmlns:xs="http://www.w3.org/2001/XMLSchema" xmlns:p="http://schemas.microsoft.com/office/2006/metadata/properties" xmlns:ns3="69649b39-c5c6-4e43-be23-96d13485302d" targetNamespace="http://schemas.microsoft.com/office/2006/metadata/properties" ma:root="true" ma:fieldsID="1debe62fbcfbd2fb83a00de8386e89e0" ns3:_="">
    <xsd:import namespace="69649b39-c5c6-4e43-be23-96d13485302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649b39-c5c6-4e43-be23-96d13485302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C4A6C8E-0B06-4233-95D2-F29B6E612311}"/>
</file>

<file path=customXml/itemProps2.xml><?xml version="1.0" encoding="utf-8"?>
<ds:datastoreItem xmlns:ds="http://schemas.openxmlformats.org/officeDocument/2006/customXml" ds:itemID="{4BF41635-49F5-41B6-AF7C-0BE9F69ADB4A}"/>
</file>

<file path=customXml/itemProps3.xml><?xml version="1.0" encoding="utf-8"?>
<ds:datastoreItem xmlns:ds="http://schemas.openxmlformats.org/officeDocument/2006/customXml" ds:itemID="{D4E3336B-2E82-492E-92E3-BC0FF3CFEC7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3</cp:revision>
  <dcterms:created xsi:type="dcterms:W3CDTF">2026-03-04T10:14:28Z</dcterms:created>
  <dcterms:modified xsi:type="dcterms:W3CDTF">2026-05-18T22:09:47Z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y fmtid="{D5CDD505-2E9C-101B-9397-08002B2CF9AE}" pid="3" name="ContentTypeId">
    <vt:lpwstr>0x0101005268FFD435A89848A1117B5C75485225</vt:lpwstr>
  </property>
</Properties>
</file>