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mc:AlternateContent xmlns:mc="http://schemas.openxmlformats.org/markup-compatibility/2006">
    <mc:Choice Requires="x15">
      <x15ac:absPath xmlns:x15ac="http://schemas.microsoft.com/office/spreadsheetml/2010/11/ac" url="https://myisepipp-my.sharepoint.com/personal/1250512_isep_ipp_pt/Documents/"/>
    </mc:Choice>
  </mc:AlternateContent>
  <xr:revisionPtr revIDLastSave="0" documentId="8_{CCCD0B0A-75D2-4C40-BEC0-DE6EE04E967C}" xr6:coauthVersionLast="47" xr6:coauthVersionMax="47" xr10:uidLastSave="{00000000-0000-0000-0000-000000000000}"/>
  <bookViews>
    <workbookView xWindow="-108" yWindow="-108" windowWidth="23256" windowHeight="12456" tabRatio="500" firstSheet="7" activeTab="14"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3" i="1" l="1"/>
  <c r="F23" i="1"/>
  <c r="C23" i="1"/>
  <c r="B23" i="1"/>
  <c r="L22" i="1"/>
  <c r="M22" i="1" s="1"/>
  <c r="J22" i="1"/>
  <c r="K22" i="1" s="1"/>
  <c r="G22" i="1"/>
  <c r="H22" i="1" s="1"/>
  <c r="L21" i="1"/>
  <c r="M21" i="1" s="1"/>
  <c r="J21" i="1"/>
  <c r="K21" i="1" s="1"/>
  <c r="G21" i="1"/>
  <c r="H21" i="1" s="1"/>
  <c r="L20" i="1"/>
  <c r="M20" i="1" s="1"/>
  <c r="J20" i="1"/>
  <c r="K20" i="1" s="1"/>
  <c r="G20" i="1"/>
  <c r="H20" i="1" s="1"/>
  <c r="D20" i="1"/>
  <c r="E20" i="1" s="1"/>
  <c r="L19" i="1"/>
  <c r="M19" i="1" s="1"/>
  <c r="J19" i="1"/>
  <c r="K19" i="1" s="1"/>
  <c r="G19" i="1"/>
  <c r="H19" i="1" s="1"/>
  <c r="D19" i="1"/>
  <c r="E19" i="1" s="1"/>
  <c r="L18" i="1"/>
  <c r="M18" i="1" s="1"/>
  <c r="J18" i="1"/>
  <c r="K18" i="1" s="1"/>
  <c r="G18" i="1"/>
  <c r="H18" i="1" s="1"/>
  <c r="D18" i="1"/>
  <c r="E18" i="1" s="1"/>
  <c r="L17" i="1"/>
  <c r="M17" i="1" s="1"/>
  <c r="J17" i="1"/>
  <c r="K17" i="1" s="1"/>
  <c r="G17" i="1"/>
  <c r="H17" i="1" s="1"/>
  <c r="D17" i="1"/>
  <c r="E17" i="1" s="1"/>
  <c r="L16" i="1"/>
  <c r="M16" i="1" s="1"/>
  <c r="J16" i="1"/>
  <c r="K16" i="1" s="1"/>
  <c r="G16" i="1"/>
  <c r="H16" i="1" s="1"/>
  <c r="D16" i="1"/>
  <c r="E16" i="1" s="1"/>
  <c r="L15" i="1"/>
  <c r="M15" i="1" s="1"/>
  <c r="J15" i="1"/>
  <c r="K15" i="1" s="1"/>
  <c r="G15" i="1"/>
  <c r="H15" i="1" s="1"/>
  <c r="D15" i="1"/>
  <c r="E15" i="1" s="1"/>
  <c r="L14" i="1"/>
  <c r="M14" i="1" s="1"/>
  <c r="G14" i="1"/>
  <c r="H14" i="1" s="1"/>
  <c r="D14" i="1"/>
  <c r="E14" i="1" s="1"/>
  <c r="L13" i="1"/>
  <c r="M13" i="1" s="1"/>
  <c r="J13" i="1"/>
  <c r="K13" i="1" s="1"/>
  <c r="G13" i="1"/>
  <c r="H13" i="1" s="1"/>
  <c r="D13" i="1"/>
  <c r="E13" i="1" s="1"/>
  <c r="L12" i="1"/>
  <c r="M12" i="1" s="1"/>
  <c r="J12" i="1"/>
  <c r="K12" i="1" s="1"/>
  <c r="G12" i="1"/>
  <c r="H12" i="1" s="1"/>
  <c r="D12" i="1"/>
  <c r="E12" i="1" s="1"/>
  <c r="L11" i="1"/>
  <c r="M11" i="1" s="1"/>
  <c r="J11" i="1"/>
  <c r="K11" i="1" s="1"/>
  <c r="G11" i="1"/>
  <c r="H11" i="1" s="1"/>
  <c r="D11" i="1"/>
  <c r="E11" i="1" s="1"/>
  <c r="L10" i="1"/>
  <c r="M10" i="1" s="1"/>
  <c r="J10" i="1"/>
  <c r="K10" i="1" s="1"/>
  <c r="G10" i="1"/>
  <c r="H10" i="1" s="1"/>
  <c r="D10" i="1"/>
  <c r="E10" i="1" s="1"/>
  <c r="L9" i="1"/>
  <c r="M9" i="1" s="1"/>
  <c r="J9" i="1"/>
  <c r="K9" i="1" s="1"/>
  <c r="G9" i="1"/>
  <c r="H9" i="1" s="1"/>
  <c r="D9" i="1"/>
  <c r="E9" i="1" s="1"/>
  <c r="L8" i="1"/>
  <c r="M8" i="1" s="1"/>
  <c r="J8" i="1"/>
  <c r="K8" i="1" s="1"/>
  <c r="G8" i="1"/>
  <c r="H8" i="1" s="1"/>
  <c r="D8" i="1"/>
  <c r="E8" i="1" s="1"/>
  <c r="L7" i="1"/>
  <c r="M7" i="1" s="1"/>
  <c r="J7" i="1"/>
  <c r="K7" i="1" s="1"/>
  <c r="G7" i="1"/>
  <c r="H7" i="1" s="1"/>
  <c r="D7" i="1"/>
  <c r="E7" i="1" s="1"/>
  <c r="L6" i="1"/>
  <c r="J6" i="1"/>
  <c r="K6" i="1" s="1"/>
  <c r="G6" i="1"/>
  <c r="H6" i="1" s="1"/>
  <c r="D6" i="1"/>
  <c r="D23" i="1" l="1"/>
  <c r="L23" i="1"/>
  <c r="H23" i="1"/>
  <c r="K23" i="1"/>
  <c r="M6" i="1"/>
  <c r="M23" i="1" s="1"/>
  <c r="G23" i="1"/>
  <c r="E6" i="1"/>
  <c r="E23" i="1" s="1"/>
  <c r="J23" i="1"/>
</calcChain>
</file>

<file path=xl/sharedStrings.xml><?xml version="1.0" encoding="utf-8"?>
<sst xmlns="http://schemas.openxmlformats.org/spreadsheetml/2006/main" count="2486" uniqueCount="1204">
  <si>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</si>
  <si>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</si>
  <si>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</si>
  <si>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</si>
  <si>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</si>
  <si>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</si>
  <si>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</si>
  <si>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</si>
  <si>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</si>
  <si>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</si>
  <si>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</si>
  <si>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</si>
  <si>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</si>
  <si>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</si>
  <si>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</si>
  <si>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</si>
  <si>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</si>
  <si>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</si>
  <si>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</si>
  <si>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</si>
  <si>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</si>
  <si>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</si>
  <si>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</si>
  <si>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</si>
  <si>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</si>
  <si>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</si>
  <si>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</si>
  <si>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</si>
  <si>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</si>
  <si>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</si>
  <si>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</si>
  <si>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</si>
  <si>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</si>
  <si>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Section ID</t>
  </si>
  <si>
    <t>Section Name</t>
  </si>
  <si>
    <t>Req ID</t>
  </si>
  <si>
    <t>Description</t>
  </si>
  <si>
    <t>Level</t>
  </si>
  <si>
    <t>Status</t>
  </si>
  <si>
    <t>Observations</t>
  </si>
  <si>
    <t>Reference / Link</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</si>
  <si>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</si>
  <si>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</si>
  <si>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</si>
  <si>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</si>
  <si>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Compliant</t>
  </si>
  <si>
    <t>Done naturaly with Spring Boot.The decoding of the HTTP payload into a single canonical form (UTF-8) is delegated entirely to the Spring Boot framework's embedded web server. This process occurs mandatorily at the infrastructure layer, before the data is injected into the REST controllers or undergoes any validation. The sanitization routine (sanitize()) acts directly on the already standardized String.</t>
  </si>
  <si>
    <t>V1.1.2</t>
  </si>
  <si>
    <t>Verify that the application performs output encoding and escaping either as a final step before being used by the interpreter for which it is intended or by the interpreter itself.</t>
  </si>
  <si>
    <t>Output encoding and sanitization are applied to user-generated content, particularly in chat messages, to prevent XSS attacks.</t>
  </si>
  <si>
    <t>https://github.com/mei-desofs/desofs2026-wed_nap_5/blob/main/src/main/java/com/grupo/learningmore/services/ChatService.java</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</si>
  <si>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</si>
  <si>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</si>
  <si>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</si>
  <si>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</si>
  <si>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By using private String sanitize(String content) {
        return content
                .replace("&lt;", "&amp;lt;")
                .replace("&gt;", "&amp;gt;");
    } we're preventing the storage and propagation of Stored XSS payloads, ensuring that when data is rendered by external clients, the syntactic structure of the target document is not altered.</t>
  </si>
  <si>
    <t>V1.2.2</t>
  </si>
  <si>
    <t>Verify that when dynamically building URLs, untrusted data is encoded according to its context (e.g., URL encoding or base64url encoding for query or path parameters). Ensure that only safe URL protocols are permitted (e.g., disallow javascript: or data:).</t>
  </si>
  <si>
    <t>Not Started</t>
  </si>
  <si>
    <t>V1.2.3</t>
  </si>
  <si>
    <t>Verify that output encoding or escaping is used when dynamically building JavaScript content (including JSON), to avoid changing the message or document structure (to avoid JavaScript and JSON injection).</t>
  </si>
  <si>
    <t>JSON responses are generated through Spring/Jackson serialization, reducing manual JavaScript/JSON construction risks.</t>
  </si>
  <si>
    <t>spring-boot-starter-webmvc, Jackson</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</si>
  <si>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</si>
  <si>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</si>
  <si>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Database access is handled through Spring Data JPA/Hibernate repositories, reducing SQL injection risk through ORM-based query handling.</t>
  </si>
  <si>
    <t>repositories/*, spring-boot-starter-data-jpa, SR10</t>
  </si>
  <si>
    <t>V1.2.5</t>
  </si>
  <si>
    <t>Verify that the application protects against OS command injection and that operating system calls use parameterized OS queries or use contextual command line output encoding.</t>
  </si>
  <si>
    <t>The ecosystem interacts with external resources (such as the PostgreSQL DBMS) exclusively through specific and parameterized application communication drivers (JPA/JDBC), eliminating any need to invoke command-line utilities or shells of the underlying operating system.</t>
  </si>
  <si>
    <t xml:space="preserve"> </t>
  </si>
  <si>
    <t>V1.2.6</t>
  </si>
  <si>
    <t>Verify that the application protects against LDAP injection vulnerabilities, or that specific security controls to prevent LDAP injection have been implemented.</t>
  </si>
  <si>
    <t>Not Applicable</t>
  </si>
  <si>
    <t>LDAP services are not used by the application.</t>
  </si>
  <si>
    <t>V1.2.7</t>
  </si>
  <si>
    <t>Verify that the application is protected against XPath injection attacks by using query parameterization or precompiled queries.</t>
  </si>
  <si>
    <t>XPath queries are not used by the application.</t>
  </si>
  <si>
    <t>V1.2.8</t>
  </si>
  <si>
    <t>Verify that LaTeX processors are configured securely (such as not using the "--shell-escape" flag) and an allowlist of commands is used to prevent LaTeX injection attacks.</t>
  </si>
  <si>
    <t>LaTeX processing is not used by the application.</t>
  </si>
  <si>
    <t>V1.2.9</t>
  </si>
  <si>
    <t>Verify that the application escapes special characters in regular expressions (typically using a backslash) to prevent them from being misinterpreted as metacharacters.</t>
  </si>
  <si>
    <t>All regular expressions and text matching logic used in the ecosystem (whether in metadata filtering in FetchMetadataFilter.java, in DTO validation annotations, or in log replacement masks) are defined statically and immutably by the source code.</t>
  </si>
  <si>
    <t>https://github.com/mei-desofs/desofs2026-wed_nap_5/blob/phase2-sprint2/src/main/java/com/grupo/learningmore/security/FetchMetadataFilter.java</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</si>
  <si>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</si>
  <si>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</si>
  <si>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CSV or spreadsheet export protection is not implemented in the current sprint scope.</t>
  </si>
  <si>
    <t>V1.3</t>
  </si>
  <si>
    <t>Sanitization</t>
  </si>
  <si>
    <t>V1.3.1</t>
  </si>
  <si>
    <t>Verify that all untrusted HTML input from WYSIWYG editors or similar is sanitized using a well-known and secure HTML sanitization library or framework feature.</t>
  </si>
  <si>
    <t>In the system's current business model, there are no data entry fields that support or allow users to submit rich text (formatted HTML).As demonstrated in the sanitize() method of ChatService.java, all user text input is treated strictly as plain text. The application applies a complete HTML escaping routine, forcibly neutralizing the &lt; and &gt; characters (converting them to &amp;lt; and &gt;gt;). This radically prevents the interpretation or storage of any HTML structure, eliminating the Stored XSS vector.</t>
  </si>
  <si>
    <t>V1.3.2</t>
  </si>
  <si>
    <t>Verify that the application avoids the use of eval() or other dynamic code execution features such as Spring Expression Language (SpEL). Where there is no alternative, any user input being included must be sanitized before being executed.</t>
  </si>
  <si>
    <t>The application does not use eval, unsafe runtime code execution, or unrestricted SpEL evaluation with user input.</t>
  </si>
  <si>
    <t>Codebase review</t>
  </si>
  <si>
    <t>V1.3.3</t>
  </si>
  <si>
    <t>Verify that data being passed to a potentially dangerous context is sanitized beforehand to enforce safety measures, such as only allowing characters which are safe for this context and trimming input which is too long.</t>
  </si>
  <si>
    <t>Backend validation is applied through DTO validation and service-layer checks before data is processed in sensitive contexts.</t>
  </si>
  <si>
    <t>"@Valid", DTOs, SR10</t>
  </si>
  <si>
    <t>V1.3.4</t>
  </si>
  <si>
    <t>Verify that user-supplied Scalable Vector Graphics (SVG) scriptable content is validated or sanitized to contain only tags and attributes (such as draw graphics) that are safe for the application, e.g., do not contain scripts and foreignObject.</t>
  </si>
  <si>
    <t>SVG uploads are not supported in the current application scope.</t>
  </si>
  <si>
    <t>V1.3.5</t>
  </si>
  <si>
    <t>Verify that the application sanitizes or disables user-supplied scriptable or expression template language content, such as Markdown, CSS or XSL stylesheets, BBCode, or similar.</t>
  </si>
  <si>
    <t>The application operates strictly as a REST API for data (JSON). The ecosystem does not integrate with or use third-party processing or active parsing libraries (such as Markdown, BBCode, dynamic CSS, or XSLT stylesheets).</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</si>
  <si>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</si>
  <si>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</si>
  <si>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The current scope of the API does not handle outbound network requests driven by user-submitted data or URLs. The application does not use RestTemplate or WebClient to consume external dynamic services based on third-party inputs, making the SSRF risk zero due to the absence of exposed functionality.</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</si>
  <si>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</si>
  <si>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</si>
  <si>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The application ecosystem does not integrate, configure, or use server-side template enginesThere are no flows where user-submitted data strings are concatenated to compile or generate dynamic view files.</t>
  </si>
  <si>
    <t>V1.3.8</t>
  </si>
  <si>
    <t>Verify that the application appropriately sanitizes untrusted input before use in Java Naming and Directory Interface (JNDI) queries and that JNDI is configured securely to prevent JNDI injection attacks.</t>
  </si>
  <si>
    <t>JNDI queries are not exposed to user-controlled input.</t>
  </si>
  <si>
    <t>V1.3.9</t>
  </si>
  <si>
    <t>Verify that the application sanitizes content before it is sent to memcache to prevent injection attacks.</t>
  </si>
  <si>
    <t>Memcache is not used by the application.</t>
  </si>
  <si>
    <t>V1.3.10</t>
  </si>
  <si>
    <t>Verify that format strings which might resolve in an unexpected or malicious way when used are sanitized before being processed.</t>
  </si>
  <si>
    <t>As shown in the application's structural components (such as in FetchMetadataFilter.java in the lock log and in GlobalExceptionHandler.java in the exception handling), all diagnostic flows use the SLF4J API parameterization pattern. The formatting base string is strictly static (hardcoded), and dynamic user inputs are injected separately via safe placeholders ({}).</t>
  </si>
  <si>
    <t>V1.3.11</t>
  </si>
  <si>
    <t>Verify that the application sanitizes user input before passing to mail systems to protect against SMTP or IMAP injection.</t>
  </si>
  <si>
    <t>Mail system input sanitization is not implemented in the current sprint scope.</t>
  </si>
  <si>
    <t>V1.3.12</t>
  </si>
  <si>
    <t>Verify that regular expressions are free from elements causing exponential backtracking, and ensure untrusted input is sanitized to mitigate ReDoS or Runaway Regex attacks.</t>
  </si>
  <si>
    <t>ReDoS-specific regex review is not implemented in the current sprint scope.</t>
  </si>
  <si>
    <t>V1.4</t>
  </si>
  <si>
    <t>Memory, String, and Unmanaged Code</t>
  </si>
  <si>
    <t>V1.4.1</t>
  </si>
  <si>
    <t>Verify that the application uses memory-safe string, safer memory copy and pointer arithmetic to detect or prevent stack, buffer, or heap overflows.</t>
  </si>
  <si>
    <t>The application is implemented in Java, a managed memory-safe language, reducing risks of buffer and pointer memory vulnerabilities.</t>
  </si>
  <si>
    <t>Java 17</t>
  </si>
  <si>
    <t>V1.4.2</t>
  </si>
  <si>
    <t>Verify that sign, range, and input validation techniques are used to prevent integer overflows.</t>
  </si>
  <si>
    <t>Backend validation helps reduce unsafe numeric input handling. There are no interger being used in user input</t>
  </si>
  <si>
    <t>Visible in the entities code</t>
  </si>
  <si>
    <t>V1.4.3</t>
  </si>
  <si>
    <t>Verify that dynamically allocated memory and resources are released, and that references or pointers to freed memory are removed or set to null to prevent dangling pointers and use-after-free vulnerabilities.</t>
  </si>
  <si>
    <t>Memory management and resource cleanup are handled by the JVM garbage collector.</t>
  </si>
  <si>
    <t>Java 17 / JVM</t>
  </si>
  <si>
    <t>V1.5</t>
  </si>
  <si>
    <t>Safe Deserialization</t>
  </si>
  <si>
    <t>V1.5.1</t>
  </si>
  <si>
    <t>Verify that the application configures XML parsers to use a restrictive configuration and that unsafe features such as resolving external entities are disabled to prevent XML eXternal Entity (XXE) attacks.</t>
  </si>
  <si>
    <t>XML parsing is not used in the current application scope.</t>
  </si>
  <si>
    <t>Spring MVC / Jackson</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</si>
  <si>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</si>
  <si>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</si>
  <si>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JSON deserialization is handled through standard Spring/Jackson mechanisms without unsafe polymorphic deserialization being exposed. The application ecosystem does not use native Java serialization/deserialization (java.io.ObjectInputStream). Binary byte streams of user input or session cookies are not accepted.As configured in SecurityConfig.java, the application operates under a strictly STATELESS session policy. The identity validation delegated to JwtFilter consumes only string-based tokens under the JWT specification, eliminating the attack vector by deserializing persisted session objects.</t>
  </si>
  <si>
    <t>https://github.com/mei-desofs/desofs2026-wed_nap_5/blob/phase2-sprint2/src/main/java/com/grupo/learningmore/security/JwtFilter.java</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</si>
  <si>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</si>
  <si>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</si>
  <si>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Parser consistency hardening is not explicitly documented or tested in the current sprint.</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</si>
  <si>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</si>
  <si>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</si>
  <si>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</si>
  <si>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</si>
  <si>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Input validation rules and schema validation tests are documented, including boundary values and invalid payload handling.</t>
  </si>
  <si>
    <t>Deliverables\Phase1\Phase1-Deliverable.md ----- Input validation tests (schema violations, injection payloads, boundary values)</t>
  </si>
  <si>
    <t>V2.1.2</t>
  </si>
  <si>
    <t>Verify that the application's documentation defines how to validate the logical and contextual consistency of combined data items, such as checking that suburb and ZIP code match.</t>
  </si>
  <si>
    <t>Business rules and contextual validations are documented for authentication, enrollment, file access, and chat authorization flows.</t>
  </si>
  <si>
    <t>SR4, SR5, SR6</t>
  </si>
  <si>
    <t>V2.1.3</t>
  </si>
  <si>
    <t>Verify that expectations for business logic limits and validations are documented, including both per-user and globally across the application.</t>
  </si>
  <si>
    <t>Business logic limits and validation rules are defined for uploads, authentication attempts, and course access operations.</t>
  </si>
  <si>
    <t>NFR5, SR3, SR11</t>
  </si>
  <si>
    <t>V2.2</t>
  </si>
  <si>
    <t>Input Validation</t>
  </si>
  <si>
    <t> </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</si>
  <si>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</si>
  <si>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</si>
  <si>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Several DTOs are being used</t>
  </si>
  <si>
    <t>https://github.com/mei-desofs/desofs2026-wed_nap_5/tree/phase2-sprint2/src/main/java/com/grupo/learningmore/dto</t>
  </si>
  <si>
    <t>V2.2.2</t>
  </si>
  <si>
    <t>Verify that the application is designed to enforce input validation at a trusted service layer. While client-side validation improves usability and should be encouraged, it must not be relied upon as a security control.</t>
  </si>
  <si>
    <t>The application operates strictly as a REST API (Backend Only). All entry points to the exposed controllers are coercively shielded with the @Valid annotation. This ensures that any data payload is intercepted and syntactically validated on the server before being processed by the business logic, making the application immune to requests submitted by malicious clients or traffic manipulation tools (Postman, Interception Proxies).</t>
  </si>
  <si>
    <t>https://github.com/mei-desofs/desofs2026-wed_nap_5/tree/phase2-sprint2/src/main/java/com/grupo/learningmore/api</t>
  </si>
  <si>
    <t>V2.2.3</t>
  </si>
  <si>
    <t>Verify that the application ensures that combinations of related data items are reasonable according to the pre-defined rules.</t>
  </si>
  <si>
    <t>Related data validation rules are applied to ensure logical consistency between users, enrollments, and course resources.</t>
  </si>
  <si>
    <t>V2.3</t>
  </si>
  <si>
    <t>Business Logic Security</t>
  </si>
  <si>
    <t>V2.3.1</t>
  </si>
  <si>
    <t>Verify that the application will only process business logic flows for the same user in the expected sequential step order and without skipping steps.</t>
  </si>
  <si>
    <t>The userId parameter used in all SubmissionService validations is injected directly from the JWT token validated by our JwtFilter in the trusted layer of Spring Security. The client cannot manipulate this ID in the JSON payload, which cryptographically guarantees that the sequential stream belongs strictly to the same authenticated user.</t>
  </si>
  <si>
    <t>https://github.com/mei-desofs/desofs2026-wed_nap_5/blob/phase2-sprint2/src/main/java/com/grupo/learningmore/services/SubmissionService.java</t>
  </si>
  <si>
    <t>V2.3.2</t>
  </si>
  <si>
    <t>Verify that business logic limits are implemented per the application's documentation to avoid business logic flaws being exploited.</t>
  </si>
  <si>
    <t>Business logic restrictions are applied to uploads, enrollments, and access-control operations to reduce abuse scenarios. Visible in the services</t>
  </si>
  <si>
    <t>https://github.com/mei-desofs/desofs2026-wed_nap_5/tree/phase2-sprint2/src/main/java/com/grupo/learningmore/services</t>
  </si>
  <si>
    <t>V2.3.3</t>
  </si>
  <si>
    <t>Verify that transactions are being used at the business logic level such that either a business logic operation succeeds in its entirety or it is rolled back to the previous correct state.</t>
  </si>
  <si>
    <t>The application ensures transactional integrity and atomicity ("all or nothing") of operations in the business layer through the use of the Spring Framework's @Transactional annotation. Critical write methods (such as submit and gradeSubmission) encapsulate all persistence operations (business entities and audit log tables such as SubmissionAuditLog) under a single database transaction. In the event of any runtime failure or exception (RuntimeException, IOException), the mechanism intercepts the error and forces a complete and automatic rollback in PostgreSQL, preventing the persistence of partial states or data corruption.</t>
  </si>
  <si>
    <t>V2.3.4</t>
  </si>
  <si>
    <t>Verify that business logic level locking mechanisms are used to ensure that limited quantity resources (such as theater seats or delivery slots) cannot be double-booked by manipulating the application's logic.</t>
  </si>
  <si>
    <t>The application prevents the exploitation of race conditions on limited resources (such as submission exclusivity per student) through the combined use of transactional isolation (@Transactional) and database engine-based concurrency controls (PostgreSQL).</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</si>
  <si>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</si>
  <si>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</si>
  <si>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Multi-user approval workflows for high-value business operations are not implemented in the current application scope.</t>
  </si>
  <si>
    <t>NFR9</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</si>
  <si>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</si>
  <si>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</si>
  <si>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</si>
  <si>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</si>
  <si>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Rate limiting and anti-automation protections are planned but not yet implemented in the current backend.</t>
  </si>
  <si>
    <t>SR3</t>
  </si>
  <si>
    <t>V2.4.2</t>
  </si>
  <si>
    <t>Verify that business logic flows require realistic human timing, preventing excessively rapid transaction submissions.</t>
  </si>
  <si>
    <t> Human interaction timing controls for sensitive business operations are not implemented in the current project stage.</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</si>
  <si>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</si>
  <si>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</si>
  <si>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</si>
  <si>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</si>
  <si>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Backend-only REST API at current project stage.</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</si>
  <si>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</si>
  <si>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</si>
  <si>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</si>
  <si>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</si>
  <si>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V3.2.2</t>
  </si>
  <si>
    <t>Verify that content intended to be displayed as text, rather than rendered as HTML, is handled using safe rendering functions (such as createTextNode or textContent) to prevent unintended execution of content such as HTML or JavaScript.</t>
  </si>
  <si>
    <t>The current project scope does not include browser-side rendering logic.</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</si>
  <si>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</si>
  <si>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</si>
  <si>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No client-side JavaScript frontend is implemented in the current scope.</t>
  </si>
  <si>
    <t>V3.3</t>
  </si>
  <si>
    <t>Cookie Setup</t>
  </si>
  <si>
    <t>V3.3.1</t>
  </si>
  <si>
    <t>Verify that cookies have the 'Secure' attribute set, and if the '\__Host-' prefix is not used for the cookie name, the '__Secure-' prefix must be used for the cookie name.</t>
  </si>
  <si>
    <t>The application uses stateless JWT authentication through the Authorization header and does not rely on session cookies.</t>
  </si>
  <si>
    <t>SR2</t>
  </si>
  <si>
    <t>V3.3.2</t>
  </si>
  <si>
    <t>Verify that each cookie's 'SameSite' attribute value is set according to the purpose of the cookie, to limit exposure to user interface redress attacks and browser-based request forgery attacks, commonly known as cross-site request forgery (CSRF).</t>
  </si>
  <si>
    <t>The application uses stateless JWT authentication through the Authorization header, so SameSite cookie controls are not used.</t>
  </si>
  <si>
    <t>V3.3.3</t>
  </si>
  <si>
    <t>Verify that cookies have the '__Host-' prefix for the cookie name unless they are explicitly designed to be shared with other hosts.</t>
  </si>
  <si>
    <t>Session cookies are not used in the current authentication design.</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</si>
  <si>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</si>
  <si>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</si>
  <si>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Session tokens are not transferred through cookies; JWT tokens are returned by the login endpoint and used as Bearer tokens.</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</si>
  <si>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</si>
  <si>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</si>
  <si>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The application does not write authentication cookies in the current backend implementation.</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</si>
  <si>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</si>
  <si>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</si>
  <si>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</si>
  <si>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</si>
  <si>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HSTS headers are not explicitly configured in the current Sprint 1 backend.</t>
  </si>
  <si>
    <t>SR13, SR14</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</si>
  <si>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</si>
  <si>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</si>
  <si>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CORS allowlist configuration is not explicitly defined in the current backend security configuration.</t>
  </si>
  <si>
    <t>SR14</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</si>
  <si>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</si>
  <si>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</si>
  <si>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Content-Security-Policy headers are not explicitly configured in the current backend.</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</si>
  <si>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</si>
  <si>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</si>
  <si>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HTTP responses include X-Content-Type-Options: nosniff, as verified with curl against protected API endpoints.</t>
  </si>
  <si>
    <t xml:space="preserve">curl.exe -i http://localhost:9393/api/users
</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</si>
  <si>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</si>
  <si>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</si>
  <si>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Referrer-Policy headers are not explicitly configured in the current backend.</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</si>
  <si>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</si>
  <si>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</si>
  <si>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frame-ancestors / CSP anti-framing policy is not explicitly configured in the current backend.</t>
  </si>
  <si>
    <t>X-Frame-Options: DENY</t>
  </si>
  <si>
    <t>V3.4.7</t>
  </si>
  <si>
    <t>Verify that the Content-Security-Policy header field specifies a location to report violations.</t>
  </si>
  <si>
    <t>CSP violation reporting is not configured in the current backend.</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</si>
  <si>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</si>
  <si>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</si>
  <si>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Cross-Origin-Opener-Policy headers are not explicitly configured in the current backend.</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</si>
  <si>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</si>
  <si>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</si>
  <si>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</si>
  <si>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</si>
  <si>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 xml:space="preserve">The application uses stateless JWT authentication instead of cookie-based sessions, reducing CSRF exposure in the current API design. </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</si>
  <si>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</si>
  <si>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</si>
  <si>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CORS preflight-based protection is not explicitly configured in the current backend.</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</si>
  <si>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</si>
  <si>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</si>
  <si>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In Progress</t>
  </si>
  <si>
    <t>Sensitive operations are exposed through appropriate REST methods such as POST, PUT, PATCH and DELETE instead of relying on safe methods for state changes.</t>
  </si>
  <si>
    <t>NFR12</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</si>
  <si>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</si>
  <si>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</si>
  <si>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The current project scope is a single backend REST API and does not define separate browser applications or hostnames.</t>
  </si>
  <si>
    <t>V3.5.5</t>
  </si>
  <si>
    <t>Verify that messages received by the postMessage interface are discarded if the origin of the message is not trusted, or if the syntax of the message is invalid.</t>
  </si>
  <si>
    <t>The application does not implement browser postMessage communication.</t>
  </si>
  <si>
    <t>V3.5.6</t>
  </si>
  <si>
    <t>Verify that JSONP functionality is not enabled anywhere across the application to avoid Cross-Site Script Inclusion (XSSI) attacks.</t>
  </si>
  <si>
    <t>JSONP functionality is not used in the backend REST API.</t>
  </si>
  <si>
    <t>V3.5.7</t>
  </si>
  <si>
    <t>Verify that data requiring authorization is not included in script resource responses, like JavaScript files, to prevent Cross-Site Script Inclusion (XSSI) attacks.</t>
  </si>
  <si>
    <t>The backend does not expose authorised data through JavaScript resource responses.</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</si>
  <si>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</si>
  <si>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</si>
  <si>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Browsers block any cross-origin site from loading resources (images, scripts, etc.) from our API.</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</si>
  <si>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</si>
  <si>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</si>
  <si>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</si>
  <si>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</si>
  <si>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The current project scope does not include externally hosted client-side assets.</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</si>
  <si>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</si>
  <si>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</si>
  <si>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</si>
  <si>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</si>
  <si>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No client-side browser technologies are implemented in the current backend-only scope.</t>
  </si>
  <si>
    <t>V3.7.2</t>
  </si>
  <si>
    <t>Verify that the application will only automatically redirect the user to a different hostname or domain (which is not controlled by the application) where the destination appears on an allowlist.</t>
  </si>
  <si>
    <t>External redirect allowlist controls are not explicitly documented or configured.</t>
  </si>
  <si>
    <t>SR10</t>
  </si>
  <si>
    <t>V3.7.3</t>
  </si>
  <si>
    <t>Verify that the application shows a notification when the user is being redirected to a URL outside of the application's control, with an option to cancel the navigation.</t>
  </si>
  <si>
    <t>Browser-side redirect warning behaviour is outside the current backend-only scope.</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</si>
  <si>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</si>
  <si>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</si>
  <si>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HSTS preload configuration is not defined for the current project stage.</t>
  </si>
  <si>
    <t>V3.7.5</t>
  </si>
  <si>
    <t>Verify that the application behaves as documented (such as warning the user or blocking access) if the browser used to access the application does not support the expected security features.</t>
  </si>
  <si>
    <t>Browser capability handling is outside the current backend-only scope.</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</si>
  <si>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</si>
  <si>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</si>
  <si>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</si>
  <si>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</si>
  <si>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Spring Boot REST controllers return structured JSON responses with appropriate Content-Type headers. API responses were validated during Postman/Newman runtime testing.</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</si>
  <si>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</si>
  <si>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</si>
  <si>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HTTPS enforcement and HTTP-to-HTTPS redirect policies are not configured because no production deployment environment is currently defined.</t>
  </si>
  <si>
    <t>SR13</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</si>
  <si>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</si>
  <si>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</si>
  <si>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The current deployment does not use a documented reverse proxy or load balancer layer. Protection against overridden intermediary headers is not explicitly configured.</t>
  </si>
  <si>
    <t>V4.1.4</t>
  </si>
  <si>
    <t>Verify that only HTTP methods that are explicitly supported by the application or its API (including OPTIONS during preflight requests) can be used and that unused methods are blocked.</t>
  </si>
  <si>
    <t>API operations are exposed through explicit Spring controller mappings such as GET, POST, PUT and DELETE. Unsupported HTTP methods are not mapped by the application and are rejected by the framework.</t>
  </si>
  <si>
    <t>V4.1.5</t>
  </si>
  <si>
    <t>Verify that per-message digital signatures are used to provide additional assurance on top of transport protections for requests or transactions which are highly sensitive or which traverse a number of systems.</t>
  </si>
  <si>
    <t>Per-message digital signatures are not required for the current project scope and architecture.</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</si>
  <si>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</si>
  <si>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</si>
  <si>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</si>
  <si>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</si>
  <si>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Advanced HTTP request smuggling protections are not explicitly configured at application or reverse proxy level.</t>
  </si>
  <si>
    <t>V4.2.2</t>
  </si>
  <si>
    <t>Verify that when generating HTTP messages, the Content-Length header field does not conflict with the length of the content as determined by the framing of the HTTP protocol, in order to prevent request smuggling attacks.</t>
  </si>
  <si>
    <t>HTTP framing and Content-Length conflict handling are delegated to the embedded application server and are not explicitly validated by application code.</t>
  </si>
  <si>
    <t>V4.2.3</t>
  </si>
  <si>
    <t>Verify that the application does not send nor accept HTTP/2 or HTTP/3 messages with connection-specific header fields such as Transfer-Encoding to prevent response splitting and header injection attacks.</t>
  </si>
  <si>
    <t>HTTP/2 and HTTP/3 specific connection header validation is not explicitly configured in the current application.</t>
  </si>
  <si>
    <t>V4.2.4</t>
  </si>
  <si>
    <t>Verify that the application only accepts HTTP/2 and HTTP/3 requests where the header fields and values do not contain any CR (\r), LF (\n), or CRLF (\r\n) sequences, to prevent header injection attacks.</t>
  </si>
  <si>
    <t>Protocol-level CRLF validation for HTTP/2 and HTTP/3 headers is not explicitly configured in the current application.</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</si>
  <si>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</si>
  <si>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</si>
  <si>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The application uses DTO validation, Jakarta Bean Validation and Spring request handling to validate incoming request data. File uploads are also constrained through multipart size configuration.</t>
  </si>
  <si>
    <t>V4.3</t>
  </si>
  <si>
    <t>GraphQL</t>
  </si>
  <si>
    <t>V4.3.1</t>
  </si>
  <si>
    <t>Verify that a query allowlist, depth limiting, amount limiting, or query cost analysis is used to prevent GraphQL or data layer expression Denial of Service (DoS) as a result of expensive, nested queries.</t>
  </si>
  <si>
    <t>The application does not implement GraphQL APIs.</t>
  </si>
  <si>
    <t>V4.3.2</t>
  </si>
  <si>
    <t>Verify that GraphQL introspection queries are disabled in the production environment unless the GraphQL API is meant to be used by other parties.</t>
  </si>
  <si>
    <t>GraphQL introspection is not applicable because GraphQL is not used.</t>
  </si>
  <si>
    <t>V4.4</t>
  </si>
  <si>
    <t>WebSocket</t>
  </si>
  <si>
    <t>V4.4.1</t>
  </si>
  <si>
    <t>Verify that WebSocket over TLS (WSS) is used for all WebSocket connections.</t>
  </si>
  <si>
    <t>The application does not implement WebSocket communication in the current backend scope.</t>
  </si>
  <si>
    <t>V4.4.2</t>
  </si>
  <si>
    <t>Verify that, during the initial HTTP WebSocket handshake, the Origin header field is checked against a list of origins allowed for the application.</t>
  </si>
  <si>
    <t>WebSocket handshake origin validation is not applicable because WebSockets are not used.</t>
  </si>
  <si>
    <t>V4.4.3</t>
  </si>
  <si>
    <t>Verify that, if the application's standard session management cannot be used, dedicated tokens are being used for this, which comply with the relevant Session Management security requirements.</t>
  </si>
  <si>
    <t>Dedicated WebSocket session tokens are not required because WebSocket communication is not implemented.</t>
  </si>
  <si>
    <t>V4.4.4</t>
  </si>
  <si>
    <t>Verify that dedicated WebSocket session management tokens are initially obtained or validated through the previously authenticated HTTPS session when transitioning an existing HTTPS session to a WebSocket channel.</t>
  </si>
  <si>
    <t>Transition from HTTPS session to WebSocket channel is not applicable in the current REST API architecture.</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</si>
  <si>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</si>
  <si>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</si>
  <si>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</si>
  <si>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</si>
  <si>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File validation requirements are defined, including allowed types, extensions, and size limits (SR11).</t>
  </si>
  <si>
    <t xml:space="preserve">SR11 </t>
  </si>
  <si>
    <t>V5.2</t>
  </si>
  <si>
    <t>File Upload and Content</t>
  </si>
  <si>
    <t>V5.2.1</t>
  </si>
  <si>
    <t>Verify that the application will only accept files of a size which it can process without causing a loss of performance or a denial of service attack.</t>
  </si>
  <si>
    <t>Maximum upload and request sizes are enforced through Spring Multipart configuration, reducing denial-of-service risks from oversized uploads.</t>
  </si>
  <si>
    <t>application.properties</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</si>
  <si>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</si>
  <si>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</si>
  <si>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File extensions and upload validation rules are enforced; deeper file content validation mechanisms are planned for future hardening.</t>
  </si>
  <si>
    <t>ResourceController.java; ResourceService.java; SubmissionController.java; SubmissionService.java</t>
  </si>
  <si>
    <t>V5.2.3</t>
  </si>
  <si>
    <t>Verify that the application checks compressed files (e.g., zip, gz, docx, odt) against maximum allowed uncompressed size and against maximum number of files before uncompressing the file.</t>
  </si>
  <si>
    <t>Compressed files are validated against maximum allowed uncompressed size to prevent resource exhaustion.</t>
  </si>
  <si>
    <t>The application does not process compressed archive uploads or perform server-side archive extraction.</t>
  </si>
  <si>
    <t>V5.2.4</t>
  </si>
  <si>
    <t>Verify that a file size quota and maximum number of files per user are enforced to ensure that a single user cannot fill up the storage with too many files, or excessively large files.</t>
  </si>
  <si>
    <t>File size limits are enforced; upload quotas are considered as mitigation for storage abuse.</t>
  </si>
  <si>
    <t>V5.2.5</t>
  </si>
  <si>
    <t>Verify that the application does not allow uploading compressed files containing symlinks unless this is specifically required (in which case it will be necessary to enforce an allowlist of the files that can be symlinked to).</t>
  </si>
  <si>
    <t>Protection against unsafe archive content such as symlinks is considered during secure file extraction design.</t>
  </si>
  <si>
    <t>SR10, SR12</t>
  </si>
  <si>
    <t>V5.2.6</t>
  </si>
  <si>
    <t>Verify that the application rejects uploaded images with a pixel size larger than the maximum allowed, to prevent pixel flood attacks.</t>
  </si>
  <si>
    <t>Uploaded files are validated to prevent oversized or malicious content causing resource exhaustion.</t>
  </si>
  <si>
    <t>SR11, NFR13</t>
  </si>
  <si>
    <t>V5.3</t>
  </si>
  <si>
    <t>File Storage</t>
  </si>
  <si>
    <t>V5.3.1</t>
  </si>
  <si>
    <t>Verify that files uploaded or generated by untrusted input and stored in a public folder, are not executed as server-side program code when accessed directly with an HTTP request.</t>
  </si>
  <si>
    <t>Files are stored outside public directories and are not executed as server-side code (SR8).</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</si>
  <si>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</si>
  <si>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</si>
  <si>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File paths are generated server-side, preventing usage of user-controlled filenames (SR12).</t>
  </si>
  <si>
    <t>V5.3.3</t>
  </si>
  <si>
    <t>Verify that server-side file processing, such as file decompression, ignores user-provided path information to prevent vulnerabilities such as zip slip.</t>
  </si>
  <si>
    <t>Server-side file processing ignores user-provided paths to prevent path traversal vulnerabilities (SR12).</t>
  </si>
  <si>
    <t>SR12</t>
  </si>
  <si>
    <t>V5.4</t>
  </si>
  <si>
    <t>File Download</t>
  </si>
  <si>
    <t>V5.4.1</t>
  </si>
  <si>
    <t>Verify that the application validates or ignores user-submitted filenames, including in a JSON, JSONP, or URL parameter and specifies a filename in the Content-Disposition header field in the response.</t>
  </si>
  <si>
    <t>User-submitted filenames are validated or ignored to prevent path traversal and injection attacks (SR12).</t>
  </si>
  <si>
    <t>V5.4.2</t>
  </si>
  <si>
    <t>Verify that file names served (e.g., in HTTP response header fields or email attachments) are encoded or sanitized (e.g., following RFC 6266) to preserve document structure and prevent injection attacks.</t>
  </si>
  <si>
    <t>File names returned in responses are intended to be sanitized and encoded to reduce injection risks.</t>
  </si>
  <si>
    <t>V5.4.3</t>
  </si>
  <si>
    <t>Verify that files obtained from untrusted sources are scanned by antivirus scanners to prevent serving of known malicious content.</t>
  </si>
  <si>
    <t>Antivirus-based scanning for untrusted uploaded files is planned as a future security enhancement.</t>
  </si>
  <si>
    <t>NFR6</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</si>
  <si>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</si>
  <si>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</si>
  <si>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</si>
  <si>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</si>
  <si>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Authentication security controls are documented, including JWT authentication flow, authorization rules, and planned rate limiting protections.</t>
  </si>
  <si>
    <t>SR2, SR3</t>
  </si>
  <si>
    <t>V6.1.2</t>
  </si>
  <si>
    <t>Verify that a list of context-specific words is documented in order to prevent their use in passwords. The list could include permutations of organization names, product names, system identifiers, project codenames, department or role names, and similar.</t>
  </si>
  <si>
    <t>Context-specific password blacklists are not currently implemented in the authentication design.</t>
  </si>
  <si>
    <t>V6.1.3</t>
  </si>
  <si>
    <t>Verify that, if the application includes multiple authentication pathways, these are all documented together with the security controls and authentication strength which must be consistently enforced across them.</t>
  </si>
  <si>
    <t>The current application implements a single JWT-based authentication pathway.</t>
  </si>
  <si>
    <t>V6.2</t>
  </si>
  <si>
    <t>Password Security</t>
  </si>
  <si>
    <t>V6.2.1</t>
  </si>
  <si>
    <t>Verify that user set passwords are at least 8 characters in length although a minimum of 15 characters is strongly recommended.</t>
  </si>
  <si>
    <t>Passwords require a minimum length of 8 characters through Bean Validation constraints applied to user registration and password change requests.</t>
  </si>
  <si>
    <t>CreateUserRequest.java, ChangePasswordRequest.java</t>
  </si>
  <si>
    <t>V6.2.2</t>
  </si>
  <si>
    <t>Verify that users can change their password.</t>
  </si>
  <si>
    <t>Authenticated users can change their password through the protected endpoint PUT /api/users/me/password.</t>
  </si>
  <si>
    <t>UserController.java, UserService.java</t>
  </si>
  <si>
    <t>V6.2.3</t>
  </si>
  <si>
    <t>Verify that password change functionality requires the user's current and new password.</t>
  </si>
  <si>
    <t>Password change requires both the current password and the new password. Current password verification is enforced before updating credentials.</t>
  </si>
  <si>
    <t>ChangePasswordRequest.java, UserService.java</t>
  </si>
  <si>
    <t>V6.2.4</t>
  </si>
  <si>
    <t>Verify that passwords submitted during account registration or password change are checked against an available set of, at least, the top 3000 passwords which match the application's password policy, e.g. minimum length.</t>
  </si>
  <si>
    <t>Password blacklist validation against common passwords is not implemented.</t>
  </si>
  <si>
    <t>V6.2.5</t>
  </si>
  <si>
    <t>Verify that passwords of any composition can be used, without rules limiting the type of characters permitted. There must be no requirement for a minimum number of upper or lower case characters, numbers, or special characters.</t>
  </si>
  <si>
    <t>The application does not enforce restrictive password composition rules such as mandatory uppercase, lowercase, numeric or special characters.</t>
  </si>
  <si>
    <t>V6.2.6</t>
  </si>
  <si>
    <t>Verify that password input fields use type=password to mask the entry. Applications may allow the user to temporarily view the entire masked password, or the last typed character of the password.</t>
  </si>
  <si>
    <t>Browser-side password masking behaviour is outside the current backend-only project scope.</t>
  </si>
  <si>
    <t>V6.2.7</t>
  </si>
  <si>
    <t>Verify that "paste" functionality, browser password helpers, and external password managers are permitted.</t>
  </si>
  <si>
    <t>Browser password manager and paste behaviour are outside the backend-only scope.</t>
  </si>
  <si>
    <t>V6.2.8</t>
  </si>
  <si>
    <t>Verify that the application verifies the user's password exactly as received from the user, without any modifications such as truncation or case transformation.</t>
  </si>
  <si>
    <t>Passwords are verified exactly as submitted by the user and validated using BCrypt without truncation or case transformation.</t>
  </si>
  <si>
    <t>UserService.java, PasswordConfig.java</t>
  </si>
  <si>
    <t>V6.2.9</t>
  </si>
  <si>
    <t>Verify that passwords of at least 64 characters are permitted.</t>
  </si>
  <si>
    <t>Passwords up to 64 characters are explicitly allowed through Bean Validation constraints on registration and password change requests.</t>
  </si>
  <si>
    <t>V6.2.10</t>
  </si>
  <si>
    <t>Verify that a user's password stays valid until it is discovered to be compromised or the user rotates it. The application must not require periodic credential rotation.</t>
  </si>
  <si>
    <t>Passwords remain valid until changed by the user. No forced periodic password rotation policy is implemented.</t>
  </si>
  <si>
    <t>UserService.java</t>
  </si>
  <si>
    <t>V6.2.11</t>
  </si>
  <si>
    <t>Verify that the documented list of context specific words is used to prevent easy to guess passwords being created.</t>
  </si>
  <si>
    <t>Created a new @ValidPassword annotation in com.grupo.learningmore.security to handle password strength and context-specific word checks.</t>
  </si>
  <si>
    <t>https://github.com/mei-desofs/desofs2026-wed_nap_5/blob/b2cfaaba63c299084e335ed6f5436d11c298d492/src/main/java/com/grupo/learningmore/security/PasswordValidator.java</t>
  </si>
  <si>
    <t>V6.2.12</t>
  </si>
  <si>
    <t>Verify that passwords submitted during account registration or password changes are checked against a set of breached passwords.</t>
  </si>
  <si>
    <t>Created BreachedPasswordService in com.grupo.learningmore.security. This service uses the 'Have I Been Pwned' (HIBP) API with k-Anonymity.</t>
  </si>
  <si>
    <t>V6.3</t>
  </si>
  <si>
    <t>General Authentication Security</t>
  </si>
  <si>
    <t>V6.3.1</t>
  </si>
  <si>
    <t>Verify that controls to prevent attacks such as credential stuffing and password brute force are implemented according to the application's security documentation.</t>
  </si>
  <si>
    <t>Brute-force and credential stuffing protections such as rate limiting are planned but not fully implemented.</t>
  </si>
  <si>
    <t>V6.3.2</t>
  </si>
  <si>
    <t>Verify that default user accounts (e.g., "root", "admin", or "sa") are not present in the application or are disabled.</t>
  </si>
  <si>
    <t>No default application accounts are exposed through the authentication layer. User accounts are created explicitly through the registration process.</t>
  </si>
  <si>
    <t>UserController.java, DataBootstrap.java</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</si>
  <si>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</si>
  <si>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</si>
  <si>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Multi-factor authentication is not implemented in the current project scope.</t>
  </si>
  <si>
    <t>V6.3.4</t>
  </si>
  <si>
    <t>Verify that, if the application includes multiple authentication pathways, there are no undocumented pathways and that security controls and authentication strength are enforced consistently.</t>
  </si>
  <si>
    <t>The application currently supports a single JWT-based authentication pathway.</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</si>
  <si>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</si>
  <si>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</si>
  <si>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Suspicious authentication attempt notifications are not implemented.</t>
  </si>
  <si>
    <t>V6.3.6</t>
  </si>
  <si>
    <t>Verify that email is not used as either a single-factor or multi-factor authentication mechanism.</t>
  </si>
  <si>
    <t>Email is not used as an authentication factor in the current design.</t>
  </si>
  <si>
    <t>V6.3.7</t>
  </si>
  <si>
    <t>Verify that users are notified after updates to authentication details, such as credential resets or modification of the username or email address.</t>
  </si>
  <si>
    <t>Notifications for credential or authentication detail changes are not implemented.</t>
  </si>
  <si>
    <t>V6.3.8</t>
  </si>
  <si>
    <t>Verify that valid users cannot be deduced from failed authentication challenges, such as by basing on error messages, HTTP response codes, or different response times. Registration and forgot password functionality must also have this protection.</t>
  </si>
  <si>
    <t>Authentication failures return generic error responses, reducing the risk of username or account enumeration.</t>
  </si>
  <si>
    <t>AuthenticationService.java, GlobalExceptionHandler.java</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</si>
  <si>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</si>
  <si>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</si>
  <si>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</si>
  <si>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</si>
  <si>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System-generated passwords or activation codes are not used in the current authentication workflow.</t>
  </si>
  <si>
    <t>V6.4.2</t>
  </si>
  <si>
    <t>Verify that password hints or knowledge-based authentication (so-called "secret questions") are not present.</t>
  </si>
  <si>
    <t>Knowledge-based authentication and secret questions are not implemented.</t>
  </si>
  <si>
    <t>V6.4.3</t>
  </si>
  <si>
    <t>Verify that a secure process for resetting a forgotten password is implemented, that does not bypass any enabled multi-factor authentication mechanisms.</t>
  </si>
  <si>
    <t>Secure password recovery and reset workflows are not implemented.</t>
  </si>
  <si>
    <t>V6.4.4</t>
  </si>
  <si>
    <t>Verify that if a multi-factor authentication factor is lost, evidence of identity proofing is performed at the same level as during enrollment.</t>
  </si>
  <si>
    <t>Multi-factor authentication recovery flows are not implemented.</t>
  </si>
  <si>
    <t>V6.4.5</t>
  </si>
  <si>
    <t>Verify that renewal instructions for authentication mechanisms which expire are sent with enough time to be carried out before the old authentication mechanism expires, configuring automated reminders if necessary.</t>
  </si>
  <si>
    <t>Expiring authentication factor renewal workflows are not implemented.</t>
  </si>
  <si>
    <t>V6.4.6</t>
  </si>
  <si>
    <t>Verify that administrative users can initiate the password reset process for the user, but that this does not allow them to change or choose the user's password. This prevents a situation where they know the user's password.</t>
  </si>
  <si>
    <t>Administrative password reset delegation is not implemented.</t>
  </si>
  <si>
    <t>V6.5</t>
  </si>
  <si>
    <t>General Multi-factor authentication requirements</t>
  </si>
  <si>
    <t>V6.5.1</t>
  </si>
  <si>
    <t>Verify that lookup secrets, out-of-band authentication requests or codes, and time-based one-time passwords (TOTPs) are only successfully usable once.</t>
  </si>
  <si>
    <t>Multi-factor authentication and TOTP mechanisms are not implemented in the current project scope.</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</si>
  <si>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</si>
  <si>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</si>
  <si>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V6.5.3</t>
  </si>
  <si>
    <t>Verify that lookup secrets, out-of-band authentication code, and time-based one-time password seeds, are generated using a Cryptographically Secure Pseudorandom Number Generator (CSPRNG) to avoid predictable values.</t>
  </si>
  <si>
    <t>V6.5.4</t>
  </si>
  <si>
    <t>Verify that lookup secrets and out-of-band authentication codes have a minimum of 20 bits of entropy (typically 4 random alphanumeric characters or 6 random digits is sufficient).</t>
  </si>
  <si>
    <t>V6.5.5</t>
  </si>
  <si>
    <t>Verify that out-of-band authentication requests, codes, or tokens, as well as time-based one-time passwords (TOTPs) have a defined lifetime. Out of band requests must have a maximum lifetime of 10 minutes and for TOTP a maximum lifetime of 30 seconds.</t>
  </si>
  <si>
    <t>V6.5.6</t>
  </si>
  <si>
    <t>Verify that any authentication factor (including physical devices) can be revoked in case of theft or other loss.</t>
  </si>
  <si>
    <t>V6.5.7</t>
  </si>
  <si>
    <t>Verify that biometric authentication mechanisms are only used as secondary factors together with either something you have or something you know.</t>
  </si>
  <si>
    <t>V6.5.8</t>
  </si>
  <si>
    <t>Verify that time-based one-time passwords (TOTPs) are checked based on a time source from a trusted service and not from an untrusted or client provided time.</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</si>
  <si>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</si>
  <si>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</si>
  <si>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</si>
  <si>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</si>
  <si>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Out-of-band authentication mechanisms such as SMS or OTP delivery are not implemented.</t>
  </si>
  <si>
    <t>V6.6.2</t>
  </si>
  <si>
    <t>Verify that out-of-band authentication requests, codes, or tokens are bound to the original authentication request for which they were generated and are not usable for a previous or subsequent one.</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</si>
  <si>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</si>
  <si>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</si>
  <si>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</si>
  <si>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</si>
  <si>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V6.7</t>
  </si>
  <si>
    <t>Cryptographic authentication mechanism</t>
  </si>
  <si>
    <t>V6.7.1</t>
  </si>
  <si>
    <t>Verify that the certificates used to verify cryptographic authentication assertions are stored in a way protects them from modification.</t>
  </si>
  <si>
    <t>JWT signing secrets are managed server-side and protected from unauthorized modification.</t>
  </si>
  <si>
    <t>JwtService.java, application.properties</t>
  </si>
  <si>
    <t>V6.7.2</t>
  </si>
  <si>
    <t>Verify that the challenge nonce is at least 64 bits in length, and statistically unique or unique over the lifetime of the cryptographic device.</t>
  </si>
  <si>
    <t>Hardware-based cryptographic challenge-response authentication is not implemented.</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</si>
  <si>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</si>
  <si>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</si>
  <si>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</si>
  <si>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</si>
  <si>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External Identity Provider integration (OIDC, OAuth2, SAML) is not implemented in the current authentication architecture.</t>
  </si>
  <si>
    <t>V6.8.2</t>
  </si>
  <si>
    <t>Verify that the presence and integrity of digital signatures on authentication assertions (for example on JWTs or SAML assertions) are always validated, rejecting any assertions that are unsigned or have invalid signatures.</t>
  </si>
  <si>
    <t>V6.8.3</t>
  </si>
  <si>
    <t>Verify that SAML assertions are uniquely processed and used only once within the validity period to prevent replay attacks.</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</si>
  <si>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</si>
  <si>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</si>
  <si>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</si>
  <si>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</si>
  <si>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</si>
  <si>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</si>
  <si>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SR18 &amp; SR19</t>
  </si>
  <si>
    <t>V7.1.2</t>
  </si>
  <si>
    <t>Verify that the documentation defines how many concurrent (parallel) sessions are allowed for one account as well as the intended behaviors and actions to be taken when the maximum number of active sessions is reached.</t>
  </si>
  <si>
    <t>SR20</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</si>
  <si>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</si>
  <si>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</si>
  <si>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V7.2</t>
  </si>
  <si>
    <t>Fundamental Session Management Security</t>
  </si>
  <si>
    <t>V7.2.1</t>
  </si>
  <si>
    <t>Verify that the application performs all session token verification using a trusted, backend service.</t>
  </si>
  <si>
    <t>Session tokens are validated exclusively within trusted backend services using Spring Security and a custom JWT authentication filter. Token integrity and authenticity are verified through cryptographic signature validation, and token expiration is enforced server-side before establishing an authenticated security context. Authorization decisions are implemented exclusively on the backend using role-based access controls.</t>
  </si>
  <si>
    <t>https://github.com/mei-desofs/desofs2026-wed_nap_5/tree/main/src/main/java/com/grupo/learningmore/security</t>
  </si>
  <si>
    <t>V7.2.2</t>
  </si>
  <si>
    <t>Verify that the application uses either self-contained or reference tokens that are dynamically generated for session management, i.e. not using static API secrets and keys.</t>
  </si>
  <si>
    <t>The application uses dynamically generated self-contained JWT tokens for session management. Tokens are cryptographically signed using HS256, include expiration timestamps, and are validated server-side through Spring Security filters. Static API keys or hardcoded session tokens are not used for user session management.</t>
  </si>
  <si>
    <t>https://github.com/mei-desofs/desofs2026-wed_nap_5/blob/main/src/main/java/com/grupo/learningmore/security/JwtService.java</t>
  </si>
  <si>
    <t>V7.2.3</t>
  </si>
  <si>
    <t>Verify that if reference tokens are used to represent user sessions, they are unique and generated using a cryptographically secure pseudo-random number generator (CSPRNG) and possess at least 128 bits of entropy.</t>
  </si>
  <si>
    <t>The application uses self-contained JWT tokens rather than reference session tokens.Because of that, server-side reference token entropy requirements are not applicable.</t>
  </si>
  <si>
    <t>V7.2.4</t>
  </si>
  <si>
    <t>Verify that the application generates a new session token on user authentication, including re-authentication, and terminates the current session token.</t>
  </si>
  <si>
    <t>A new JWT is generated after every successful authentication and re-authentication event.</t>
  </si>
  <si>
    <t>V7.3</t>
  </si>
  <si>
    <t>Session Timeout</t>
  </si>
  <si>
    <t>V7.3.1</t>
  </si>
  <si>
    <t>Verify that there is an inactivity timeout such that re-authentication is enforced according to risk analysis and documented security decisions.</t>
  </si>
  <si>
    <t>JWT tokens are issued with a limited validity period and re-authentication is required after token expiration. Session duration and expiration behavior are documented in the authentication design.</t>
  </si>
  <si>
    <t>V7.3.2</t>
  </si>
  <si>
    <t>Verify that there is an absolute maximum session lifetime such that re-authentication is enforced according to risk analysis and documented security decisions.</t>
  </si>
  <si>
    <t xml:space="preserve"> Value("${jwt.expiration:86400000}")
    private long expiration; </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</si>
  <si>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</si>
  <si>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</si>
  <si>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</si>
  <si>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</si>
  <si>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Session invalidation is enforced through tokenVersion validation. Password changes increment the token version and invalidate previously issued JWT tokens.</t>
  </si>
  <si>
    <t>V7.4.2</t>
  </si>
  <si>
    <t>Verify that the application terminates all active sessions when a user account is disabled or deleted (such as an employee leaving the company).</t>
  </si>
  <si>
    <t xml:space="preserve">in a real life  situtation, student can still acess it's school account years after   </t>
  </si>
  <si>
    <t>V7.4.3</t>
  </si>
  <si>
    <t>Verify that the application gives the option to terminate all other active sessions after a successful change or removal of any authentication factor (including password change via reset or recovery and, if present, an MFA settings update).</t>
  </si>
  <si>
    <t>V7.4.4</t>
  </si>
  <si>
    <t>Verify that all pages that require authentication have easy and visible access to logout functionality.</t>
  </si>
  <si>
    <t>The project exposes backend REST APIs only. User interface logout functionality is outside the scope of the current implementation.</t>
  </si>
  <si>
    <t>V7.4.5</t>
  </si>
  <si>
    <t>Verify that application administrators are able to terminate active sessions for an individual user or for all users.</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</si>
  <si>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</si>
  <si>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</si>
  <si>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</si>
  <si>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</si>
  <si>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V7.5.2</t>
  </si>
  <si>
    <t>Verify that users are able to view and (having authenticated again with at least one factor) terminate any or all currently active sessions.</t>
  </si>
  <si>
    <t>V7.5.3</t>
  </si>
  <si>
    <t>Verify that the application requires further authentication with at least one factor or secondary verification before performing highly sensitive transactions or operations.</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</si>
  <si>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</si>
  <si>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</si>
  <si>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</si>
  <si>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</si>
  <si>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The application does not implement federated identity providers or single sign-on mechanisms.</t>
  </si>
  <si>
    <t>V7.6.2</t>
  </si>
  <si>
    <t>Verify that creation of a session requires either the user's consent or an explicit action, preventing the creation of new application sessions without user interaction.</t>
  </si>
  <si>
    <t>Sessions are only created after an explicit user authentication request. No automatic or background session creation is performed without user interaction.</t>
  </si>
  <si>
    <t>V8.1</t>
  </si>
  <si>
    <t>Authorization Documentation</t>
  </si>
  <si>
    <t>V8.1.1</t>
  </si>
  <si>
    <t>Verify that authorization documentation defines rules for restricting function-level and data-specific access based on consumer permissions and resource attributes.</t>
  </si>
  <si>
    <t>Authorization rules are documented through the RBAC model implemented in the application. Administrative, professor and student roles are used to restrict access to functions and protected resources.</t>
  </si>
  <si>
    <t>FR2, SR4, SR5</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</si>
  <si>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</si>
  <si>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</si>
  <si>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Field-level and data access restrictions are partially defined through functional requirements and RBAC logic.</t>
  </si>
  <si>
    <t>FR8-18, SR4, SR5</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</si>
  <si>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</si>
  <si>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</si>
  <si>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</si>
  <si>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</si>
  <si>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Authorization and authentication mechanisms are defined through RBAC, JWT authentication, protected endpoints and token validation logic enforced by Spring Security.</t>
  </si>
  <si>
    <t>V8.2</t>
  </si>
  <si>
    <t>General Authorization Design</t>
  </si>
  <si>
    <t>V8.2.1</t>
  </si>
  <si>
    <t>Verify that the application ensures that function-level access is restricted to consumers with explicit permissions.</t>
  </si>
  <si>
    <t>Function-level access is enforced through role-based access control (Admin, Professor, Student).</t>
  </si>
  <si>
    <t>https://github.com/mei-desofs/desofs2026-wed_nap_5/blob/main/src/main/java/com/grupo/learningmore/api/CourseController.java</t>
  </si>
  <si>
    <t>V8.2.2</t>
  </si>
  <si>
    <t>Verify that the application ensures that data-specific access is restricted to consumers with explicit permissions to specific data items to mitigate insecure direct object reference (IDOR) and broken object level authorization (BOLA).</t>
  </si>
  <si>
    <t>Access to protected resources is restricted through JWT authentication, role-based authorization, ownership validation, and enrollment checks where applicable, mitigating IDOR and BOLA risks.</t>
  </si>
  <si>
    <t>SR5, SR6</t>
  </si>
  <si>
    <t>V8.2.3</t>
  </si>
  <si>
    <t>Verify that the application ensures that field-level access is restricted to consumers with explicit permissions to specific fields to mitigate broken object property level authorization (BOPLA).</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</si>
  <si>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</si>
  <si>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</si>
  <si>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V8.3</t>
  </si>
  <si>
    <t>Operation Level Authorization</t>
  </si>
  <si>
    <t>V8.3.1</t>
  </si>
  <si>
    <t>Verify that the application enforces authorization rules at a trusted service layer and doesn't rely on controls that an untrusted consumer could manipulate, such as client-side JavaScript.</t>
  </si>
  <si>
    <t>Authorization is enforced at the server-side API layer and does not rely on client-side controls.</t>
  </si>
  <si>
    <t>The application enforces all authorization decisions exclusively on the backend trusted service layer using Spring Security. Access control is implemented through server-side role checks (@PreAuthorize and HTTP request matchers), and the client is not trusted to perform or influence authorization decisions. Client-side logic, if present, is used only for UI rendering and does not enforce security controls.</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</si>
  <si>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</si>
  <si>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</si>
  <si>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Authorization decisions are immediately affected by credential changes through tokenVersion validation. Previously issued tokens become invalid after password changes. Token invalidation is enforced through tokenVersion validation, ensuring previously issued tokens cannot be reused after credential changes.</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</si>
  <si>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</si>
  <si>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</si>
  <si>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Access control decisions are performed using the authenticated user's identity extracted from the JWT token and not from intermediary services or client-provided claims.</t>
  </si>
  <si>
    <t>V8.4</t>
  </si>
  <si>
    <t>Other Authorization Considerations</t>
  </si>
  <si>
    <t>V8.4.1</t>
  </si>
  <si>
    <t>Verify that multi-tenant applications use cross-tenant controls to ensure consumer operations will never affect tenants with which they do not have permissions to interact.</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</si>
  <si>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</si>
  <si>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</si>
  <si>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Administrative access is protected through RBAC and authentication mechanisms, with additional logging controls.</t>
  </si>
  <si>
    <t>SR2, SR4, SR16</t>
  </si>
  <si>
    <t>V9.1</t>
  </si>
  <si>
    <t>Token source and integrity</t>
  </si>
  <si>
    <t>V9.1.1</t>
  </si>
  <si>
    <t>Verify that self-contained tokens are validated using their digital signature or MAC to protect against tampering before accepting the token's contents.</t>
  </si>
  <si>
    <t>JWT self-contained tokens are validated through cryptographic signature verification before authentication is established. Invalid or tampered tokens are rejected by the backend authentication filter.</t>
  </si>
  <si>
    <t>JwtService.java; JwtService.java; JwtFilter.java</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</si>
  <si>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</si>
  <si>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</si>
  <si>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The application explicitly uses the HS256 algorithm for JWT signing and validation. Unsupported or insecure algorithms such as none are not accepted.</t>
  </si>
  <si>
    <t>JwtService.java</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</si>
  <si>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</si>
  <si>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</si>
  <si>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JWT signing keys are locally configured and managed by trusted backend configuration. External untrusted key sources are not supported.</t>
  </si>
  <si>
    <t>JwtService.java; application.properties</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</si>
  <si>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</si>
  <si>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</si>
  <si>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</si>
  <si>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</si>
  <si>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JWT expiration validation is enforced server-side before establishing the authenticated security context. Expired tokens are rejected.</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</si>
  <si>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</si>
  <si>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</si>
  <si>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JWT access tokens are validated before authorization decisions are performed. Additional token typing and validation hardening may be added in future iterations.</t>
  </si>
  <si>
    <t>JwtService.java; JwtFilter.java</t>
  </si>
  <si>
    <t>V9.2.3</t>
  </si>
  <si>
    <t>Verify that the service only accepts tokens which are intended for use with that service (audience). For JWTs, this can be achieved by validating the 'aud' claim against an allowlist defined in the service.</t>
  </si>
  <si>
    <t>Audience (aud) claim validation is not currently implemented. Current JWT validation covers signature and expiration, with audience validation identified as a future hardening improvement.</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</si>
  <si>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</si>
  <si>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</si>
  <si>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The application does not issue JWT tokens for multiple audiences or external services.</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</si>
  <si>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</si>
  <si>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</si>
  <si>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</si>
  <si>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</si>
  <si>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OAuth2/OIDC flows are not implemented in the current authentication architecture. The application uses internally issued JWT Bearer tokens instead.</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</si>
  <si>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</si>
  <si>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</si>
  <si>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</si>
  <si>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</si>
  <si>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</si>
  <si>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</si>
  <si>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OAuth2/OIDC flows are not implemented in the current authentication architecture. The application uses internally issued JWT Bearer tokens.</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</si>
  <si>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</si>
  <si>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</si>
  <si>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V10.2.3</t>
  </si>
  <si>
    <t>Verify that the OAuth client only requests the required scopes (or other authorization parameters) in requests to the authorization server.</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</si>
  <si>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</si>
  <si>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</si>
  <si>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</si>
  <si>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</si>
  <si>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V10.3.2</t>
  </si>
  <si>
    <t>Verify that the resource server enforces authorization decisions based on claims from the access token that define delegated authorization. If claims such as 'sub', 'scope', and 'authorization_details' are present, they must be part of the decision.</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</si>
  <si>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</si>
  <si>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</si>
  <si>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</si>
  <si>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</si>
  <si>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</si>
  <si>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</si>
  <si>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V10.4</t>
  </si>
  <si>
    <t>OAuth Authorization Server</t>
  </si>
  <si>
    <t>V10.4.1</t>
  </si>
  <si>
    <t>Verify that the authorization server validates redirect URIs based on a client-specific allowlist of pre-registered URIs using exact string comparison.</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</si>
  <si>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</si>
  <si>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</si>
  <si>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V10.4.3</t>
  </si>
  <si>
    <t>Verify that the authorization code is short-lived. The maximum lifetime can be up to 10 minutes for L1 and L2 applications and up to 1 minute for L3 applications.</t>
  </si>
  <si>
    <t>V10.4.4</t>
  </si>
  <si>
    <t>Verify that for a given client, the authorization server only allows the usage of grants that this client needs to use. Note that the grants 'token' (Implicit flow) and 'password' (Resource Owner Password Credentials flow) must no longer be used.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</si>
  <si>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</si>
  <si>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</si>
  <si>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</si>
  <si>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</si>
  <si>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</si>
  <si>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</si>
  <si>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V10.4.8</t>
  </si>
  <si>
    <t>Verify that refresh tokens have an absolute expiration, including if sliding refresh token expiration is applied.</t>
  </si>
  <si>
    <t>V10.4.9</t>
  </si>
  <si>
    <t>Verify that refresh tokens and reference access tokens can be revoked by an authorized user using the authorization server user interface, to mitigate the risk of malicious clients or stolen tokens.</t>
  </si>
  <si>
    <t>V10.4.10</t>
  </si>
  <si>
    <t>Verify that confidential client is authenticated for client-to-authorized server backchannel requests such as token requests, pushed authorization requests (PAR), and token revocation requests.</t>
  </si>
  <si>
    <t>V10.4.11</t>
  </si>
  <si>
    <t>Verify that the authorization server configuration only assigns the required scopes to the OAuth client.</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</si>
  <si>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</si>
  <si>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</si>
  <si>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V10.4.13</t>
  </si>
  <si>
    <t>Verify that grant type 'code' is always used together with pushed authorization requests (PAR).</t>
  </si>
  <si>
    <t>V10.4.14</t>
  </si>
  <si>
    <t>Verify that the authorization server issues only sender-constrained (Proof-of-Possession) access tokens, either with certificate-bound access tokens using mutual TLS (mTLS) or DPoP-bound access tokens (Demonstration of Proof of Possession).</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</si>
  <si>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</si>
  <si>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</si>
  <si>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</si>
  <si>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</si>
  <si>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</si>
  <si>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</si>
  <si>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</si>
  <si>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</si>
  <si>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V10.5.2</t>
  </si>
  <si>
    <t>Verify that the client uniquely identifies the user from ID Token claims, usually the 'sub' claim, which cannot be reassigned to other users (for the scope of an identity provider).</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</si>
  <si>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</si>
  <si>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</si>
  <si>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V10.5.4</t>
  </si>
  <si>
    <t>Verify that the client validates that the ID Token is intended to be used for that client (audience) by checking that the 'aud' claim from the token is equal to the 'client_id' value for the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</si>
  <si>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</si>
  <si>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</si>
  <si>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</si>
  <si>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</si>
  <si>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</si>
  <si>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</si>
  <si>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</si>
  <si>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</si>
  <si>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</si>
  <si>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</si>
  <si>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</si>
  <si>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</si>
  <si>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</si>
  <si>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</si>
  <si>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V10.7.3</t>
  </si>
  <si>
    <t>Verify that the user can review, modify, and revoke consents which the user has granted through the authorization server.</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</si>
  <si>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</si>
  <si>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</si>
  <si>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</si>
  <si>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</si>
  <si>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</si>
  <si>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</si>
  <si>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V11.1.3</t>
  </si>
  <si>
    <t>Verify that cryptographic discovery mechanisms are employed to identify all instances of cryptography in the system, including encryption, hashing, and signing operations.</t>
  </si>
  <si>
    <t>V11.1.4</t>
  </si>
  <si>
    <t>Verify that a cryptographic inventory is maintained. This must include a documented plan that outlines the migration path to new cryptographic standards, such as post-quantum cryptography, in order to react to future threats.</t>
  </si>
  <si>
    <t>V11.2</t>
  </si>
  <si>
    <t>Secure Cryptography Implementation</t>
  </si>
  <si>
    <t>V11.2.1</t>
  </si>
  <si>
    <t>Verify that industry-validated implementations (including libraries and hardware-accelerated implementations) are used for cryptographic operations.</t>
  </si>
  <si>
    <t>SecureRandom was used. SecureRandom is a cryptographically secure pseudo-random number generator (CSPRNG), designed to be unpredictable. It is present in all entities and is the way IDs are being graded.</t>
  </si>
  <si>
    <t>https://github.com/mei-desofs/desofs2026-wed_nap_5/tree/main/src/main/java/com/grupo/learningmore/domain</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</si>
  <si>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</si>
  <si>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</si>
  <si>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Passwords are handled using BCrypt via Spring Security Crypto. Keys and expiration times are handled externally in application.properties.</t>
  </si>
  <si>
    <t>https://github.com/mei-desofs/desofs2026-wed_nap_5/blob/main/src/main/java/com/grupo/learningmore/security/PasswordConfig.java</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</si>
  <si>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</si>
  <si>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</si>
  <si>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V11.2.4</t>
  </si>
  <si>
    <t>Verify that all cryptographic operations are constant-time, with no 'short-circuit' operations in comparisons, calculations, or returns, to avoid leaking information.</t>
  </si>
  <si>
    <t>V11.2.5</t>
  </si>
  <si>
    <t>Verify that all cryptographic modules fail securely, and errors are handled in a way that does not enable vulnerabilities, such as Padding Oracle attacks.</t>
  </si>
  <si>
    <t>V11.3</t>
  </si>
  <si>
    <t>Encryption Algorithms</t>
  </si>
  <si>
    <t>V11.3.1</t>
  </si>
  <si>
    <t>Verify that insecure block modes (e.g., ECB) and weak padding schemes (e.g., PKCS#1 v1.5) are not used.</t>
  </si>
  <si>
    <t>The application does not use insecure cryptographic modes such as ECB or weak padding schemes. JWT signing is implemented using HS256 through the JJWT library and password storage is handled through BCrypt provided by Spring Security.</t>
  </si>
  <si>
    <t>JwtService.java; PasswordConfig.java</t>
  </si>
  <si>
    <t>V11.3.2</t>
  </si>
  <si>
    <t>Verify that only approved ciphers and modes such as AES with GCM are used.</t>
  </si>
  <si>
    <t>Approved cryptographic algorithms are used for authentication and credential protection. JWT tokens are signed using HS256 and passwords are hashed using BCrypt.</t>
  </si>
  <si>
    <t>V11.3.3</t>
  </si>
  <si>
    <t>Verify that encrypted data is protected against unauthorized modification preferably by using an approved authenticated encryption method or by combining an approved encryption method with an approved MAC algorithm.</t>
  </si>
  <si>
    <t>In the JwtService.java file, the generateToken method explicitly forces the use of the algorithm via the SignatureAlgorithm.HS256 parameter and derives the key using Keys.hmacShaKeyFor(keyBytes).a: The extractClaims method uses verifyWith with the generated key. If there is any structural modification to the token payload (privilege tampering attacks), the library parser throws a JwtException, causing the isTokenValid method to immediately return false and the JwtFilter to block the request.</t>
  </si>
  <si>
    <t>V11.3.4</t>
  </si>
  <si>
    <t>Verify that nonces, initialization vectors, and other single-use numbers are not used for more than one encryption key and data-element pair. The method of generation must be appropriate for the algorithm being used.</t>
  </si>
  <si>
    <t>V11.3.5</t>
  </si>
  <si>
    <t>Verify that any combination of an encryption algorithm and a MAC algorithm is operating in encrypt-then-MAC mode.</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</si>
  <si>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</si>
  <si>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</si>
  <si>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</si>
  <si>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</si>
  <si>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The application uses approved cryptographic hash functions through HS256 (HMAC-SHA256) for JWT integrity protection and BCrypt for password hashing. Weak algorithms such as MD5 and SHA-1 are not used.</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</si>
  <si>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</si>
  <si>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</si>
  <si>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Passwords are stored using BCryptPasswordEncoder provided by Spring Security. Passwords are never stored in plaintext and are verified through secure hashing operations.</t>
  </si>
  <si>
    <t>PasswordConfig.java; UserService.java</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</si>
  <si>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</si>
  <si>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</si>
  <si>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JWT integrity protection relies on HMAC-SHA256, which provides collision-resistant hashing with a 256-bit output length suitable for integrity verification and token signing.</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</si>
  <si>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</si>
  <si>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</si>
  <si>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</si>
  <si>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</si>
  <si>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</si>
  <si>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</si>
  <si>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Link to only one of the entities, but all of them have. Ids are being generated by generateId function</t>
  </si>
  <si>
    <t>https://github.com/mei-desofs/desofs2026-wed_nap_5/blob/main/src/main/java/com/grupo/learningmore/domain/user/User.java</t>
  </si>
  <si>
    <t>V11.5.2</t>
  </si>
  <si>
    <t>Verify that the random number generation mechanism in use is designed to work securely, even under heavy demand.</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</si>
  <si>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</si>
  <si>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</si>
  <si>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</si>
  <si>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</si>
  <si>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The application meets the secure identifier generation and entropy standards in the Assignment.java entity through the exclusive use of the java.security.SecureRandom (CSPRNG) industrial API, whose seeding is natively delegated to validated cryptographic providers of the Operating System and JVM, ensuring protection against prediction attacks.</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</si>
  <si>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</si>
  <si>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</si>
  <si>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V11.7</t>
  </si>
  <si>
    <t>In-Use Data Cryptography</t>
  </si>
  <si>
    <t>V11.7.1</t>
  </si>
  <si>
    <t>Verify that full memory encryption is in use that protects sensitive data while it is in use, preventing access by unauthorized users or processes.</t>
  </si>
  <si>
    <t>V11.7.2</t>
  </si>
  <si>
    <t>Verify that data minimization ensures the minimal amount of data is exposed during processing, and ensure that data is encrypted immediately after use or as soon as feasible.</t>
  </si>
  <si>
    <t>V12.1</t>
  </si>
  <si>
    <t>General TLS Security Guidance</t>
  </si>
  <si>
    <t>V12.1.1</t>
  </si>
  <si>
    <t>Verify that only the latest recommended versions of the TLS protocol are enabled, such as TLS 1.2 and TLS 1.3. The latest version of the TLS protocol must be the preferred option.</t>
  </si>
  <si>
    <t>The project is designed to support TLS 1.3 secure communications for external connections. Final TLS deployment configuration is environment dependent.</t>
  </si>
  <si>
    <t>V12.1.2</t>
  </si>
  <si>
    <t>Verify that only recommended cipher suites are enabled, with the strongest cipher suites set as preferred. L3 applications must only support cipher suites which provide forward secrecy.</t>
  </si>
  <si>
    <t>Recommended cipher suite hardening has not yet been explicitly configured or validated.</t>
  </si>
  <si>
    <t>V12.1.3</t>
  </si>
  <si>
    <t>Verify that the application validates that mTLS client certificates are trusted before using the certificate identity for authentication or authorization.</t>
  </si>
  <si>
    <t>Mutual TLS client authentication is not implemented in the current architecture.</t>
  </si>
  <si>
    <t>V12.1.4</t>
  </si>
  <si>
    <t>Verify that proper certification revocation, such as Online Certificate Status Protocol (OCSP) Stapling, is enabled and configured.</t>
  </si>
  <si>
    <t>OCSP stapling and certificate revocation validation are not configured in the current deployment stage.</t>
  </si>
  <si>
    <t>V12.1.5</t>
  </si>
  <si>
    <t>Verify that Encrypted Client Hello (ECH) is enabled in the application's TLS settings to prevent exposure of sensitive metadata, such as the Server Name Indication (SNI), during TLS handshake processes.</t>
  </si>
  <si>
    <t>Encrypted Client Hello (ECH) is not configured in the current deployment stage.</t>
  </si>
  <si>
    <t>V12.2</t>
  </si>
  <si>
    <t>HTTPS Communication with External Facing Services</t>
  </si>
  <si>
    <t>V12.2.1</t>
  </si>
  <si>
    <t>Verify that TLS is used for all connectivity between a client and external facing, HTTP-based services, and does not fall back to insecure or unencrypted communications.</t>
  </si>
  <si>
    <t>HTTPS/TLS is enforced for external communications in deployment environments. Local development currently uses HTTP during development/testing stages.</t>
  </si>
  <si>
    <t>http://localhost:9393</t>
  </si>
  <si>
    <t>V12.2.2</t>
  </si>
  <si>
    <t>Verify that external facing services use publicly trusted TLS certificates.</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</si>
  <si>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</si>
  <si>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</si>
  <si>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</si>
  <si>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</si>
  <si>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The architecture requires TLS-secured communications for internal and external service interactions. Final infrastructure enforcement depends on deployment configuration.</t>
  </si>
  <si>
    <t>V12.3.2</t>
  </si>
  <si>
    <t>Verify that TLS clients validate certificates received before communicating with a TLS server.</t>
  </si>
  <si>
    <t>V12.3.3</t>
  </si>
  <si>
    <t>Verify that TLS or another appropriate transport encryption mechanism used for all connectivity between internal, HTTP-based services within the application, and does not fall back to insecure or unencrypted communications.</t>
  </si>
  <si>
    <t>Transport layer encryption is applied to internal service communication to ensure confidentiality and integrity.</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</si>
  <si>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</si>
  <si>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</si>
  <si>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</si>
  <si>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</si>
  <si>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</si>
  <si>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</si>
  <si>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</si>
  <si>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</si>
  <si>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</si>
  <si>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</si>
  <si>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</si>
  <si>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</si>
  <si>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V13.1.4</t>
  </si>
  <si>
    <t>Verify that the application's documentation defines the secrets that are critical for the security of the application and a schedule for rotating them, based on the organization's threat model and business requirements.</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</si>
  <si>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</si>
  <si>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</si>
  <si>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</si>
  <si>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</si>
  <si>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V13.2.2</t>
  </si>
  <si>
    <t>Verify that communications between backend application components, including local or operating system services, APIs, middleware, and data layers, are performed with accounts assigned the least necessary privileges.</t>
  </si>
  <si>
    <t>V13.2.3</t>
  </si>
  <si>
    <t>Verify that if a credential has to be used for service authentication, the credential being used by the consumer is not a default credential (e.g., root/root or admin/admin).</t>
  </si>
  <si>
    <t>it's being used a custom credential</t>
  </si>
  <si>
    <t>https://github.com/mei-desofs/desofs2026-wed_nap_5/blob/main/src/main/resources/application.properties</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</si>
  <si>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</si>
  <si>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</si>
  <si>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V13.2.5</t>
  </si>
  <si>
    <t>Verify that the web or application server is configured with an allowlist of resources or systems to which the server can send requests or load data or files from.</t>
  </si>
  <si>
    <t>Access to file systems is strictly limited to an authorized and isolated local directory, parameterized via `file.upload-dir=uploads` in `application.properties`.At the network/infrastructure level (local execution environment), communication between components is restricted by an implicit allowlist based on the host's firewall rules and DBMS port mapping, allowing outbound traffic only and exclusively towards the explicit endpoint of the PostgreSQL database (localhost:5432).</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</si>
  <si>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</si>
  <si>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</si>
  <si>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</si>
  <si>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</si>
  <si>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</si>
  <si>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</si>
  <si>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RBAC implemented, needs more work</t>
  </si>
  <si>
    <t>V13.3.2</t>
  </si>
  <si>
    <t>Verify that access to secret assets adheres to the principle of least privilege.</t>
  </si>
  <si>
    <t>V13.3.3</t>
  </si>
  <si>
    <t>Verify that all cryptographic operations are performed using an isolated security module (such as a vault or hardware security module) to securely manage and protect key material from exposure outside of the security module.</t>
  </si>
  <si>
    <t>V13.3.4</t>
  </si>
  <si>
    <t>Verify that secrets are configured to expire and be rotated based on the application's documentation.</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</si>
  <si>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</si>
  <si>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</si>
  <si>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</si>
  <si>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</si>
  <si>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Source control metadata is not packaged within the generated application artifact and is not accessible through the application. Verification of the generated Spring Boot JAR confirmed that no .git metadata is included in the deployable package.</t>
  </si>
  <si>
    <t>target/LearningMore-0.0.1-SNAPSHOT.jar</t>
  </si>
  <si>
    <t>V13.4.2</t>
  </si>
  <si>
    <t>Verify that debug modes are disabled for all components in production environments to prevent exposure of debugging features and information leakage.</t>
  </si>
  <si>
    <t>V13.4.3</t>
  </si>
  <si>
    <t>Verify that web servers do not expose directory listings to clients unless explicitly intended.</t>
  </si>
  <si>
    <t>V13.4.4</t>
  </si>
  <si>
    <t>Verify that using the HTTP TRACE method is not supported in production environments, to avoid potential information leakage.</t>
  </si>
  <si>
    <t>By executing the command curl.exe -i -X TRACE http://localhost:9393/api/users the results were HTTP/1.1 403 
Allow: HEAD, DELETE, POST, GET, OPTIONS, PUT
Content-Length: 0</t>
  </si>
  <si>
    <t>V13.4.5</t>
  </si>
  <si>
    <t>Verify that documentation (such as for internal APIs) and monitoring endpoints are not exposed unless explicitly intended.</t>
  </si>
  <si>
    <t>By executing command curl.exe -i http://localhost:9393/actuator/env this was the result
HTTP/1.1 403 
X-Content-Type-Options: nosniff
X-XSS-Protection: 0
Cache-Control: no-cache, no-store, max-age=0, must-revalidate
Pragma: no-cache
Expires: 0
X-Frame-Options: DENY
Content-Length: 0</t>
  </si>
  <si>
    <t>V13.4.6</t>
  </si>
  <si>
    <t>Verify that the application does not expose detailed version information of backend components.</t>
  </si>
  <si>
    <t>Also the previous command shows that nothing was leaked.The standard server signature headers (such as Server or X-Powered-By) have been completely suppressed from the server response messages.</t>
  </si>
  <si>
    <t>V13.4.7</t>
  </si>
  <si>
    <t>Verify that the web tier is configured to only serve files with specific file extensions to prevent unintentional information, configuration, and source code leakage.</t>
  </si>
  <si>
    <t>The application's web layer is configured to process only requests directed to endpoints explicitly mapped in the API controllers. Unlike traditional web servers, Spring Boot does not expose the native file system's directory tree. Internal configuration files (such as .properties) and compiled source code are isolated within the distribution file (.jar) and inaccessible via HTTP.By perfoming the   curl.exe -i http://localhost:9393/application.properties command it gives a forbidden error.
HTTP/1.1 403 
X-Content-Type-Options: nosniff
X-XSS-Protection: 0
Cache-Control: no-cache, no-store, max-age=0, must-revalidate
Pragma: no-cache
Expires: 0
X-Frame-Options: DENY
Content-Length: 0</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</si>
  <si>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</si>
  <si>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</si>
  <si>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</si>
  <si>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</si>
  <si>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 xml:space="preserve">Chapter 18:Data Types  </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</si>
  <si>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</si>
  <si>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</si>
  <si>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 xml:space="preserve">Chapter 13: Mitigations </t>
  </si>
  <si>
    <t>V14.2</t>
  </si>
  <si>
    <t>General Data Protection</t>
  </si>
  <si>
    <t>V14.2.1</t>
  </si>
  <si>
    <t>Verify that sensitive data is only sent to the server in the HTTP message body or header fields, and that the URL and query string do not contain sensitive information, such as an API key or session token.</t>
  </si>
  <si>
    <t>This example, focused on UserController@PostMapping, receives confidential data (including email and password in plain text) exclusively through the HTTP Message Body, using the @RequestBody annotation linked to the CreateUserRequest record.</t>
  </si>
  <si>
    <t>https://github.com/mei-desofs/desofs2026-wed_nap_5/blob/main/src/main/java/com/grupo/learningmore/api/UserController.java</t>
  </si>
  <si>
    <t>V14.2.2</t>
  </si>
  <si>
    <t>Verify that the application prevents sensitive data from being cached in server components, such as load balancers and application caches, or ensures that the data is securely purged after use.</t>
  </si>
  <si>
    <t xml:space="preserve">The application delegates the mitigation of volatile data caching to the SecurityFilterChain's native mechanism. </t>
  </si>
  <si>
    <t>https://github.com/mei-desofs/desofs2026-wed_nap_5/blob/main/src/main/java/com/grupo/learningmore/security/SecurityConfig.java</t>
  </si>
  <si>
    <t>V14.2.3</t>
  </si>
  <si>
    <t>Verify that defined sensitive data is not sent to untrusted parties (e.g., user trackers) to prevent unwanted collection of data outside of the application's control.</t>
  </si>
  <si>
    <t>in pom there are no third parties analytics and in the user response the password is never a part of the body</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</si>
  <si>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</si>
  <si>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</si>
  <si>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For Critical Level data (passwords), confidentiality and integrity are irreversibly guaranteed through the BCrypt adaptive algorithm, instantiated via `@Bean PasswordEncoder`.</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</si>
  <si>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</si>
  <si>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</si>
  <si>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</si>
  <si>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</si>
  <si>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V14.2.7</t>
  </si>
  <si>
    <t>Verify that sensitive information is subject to data retention classification, ensuring that outdated or unnecessary data is deleted automatically, on a defined schedule, or as the situation requires.</t>
  </si>
  <si>
    <t>V14.2.8</t>
  </si>
  <si>
    <t>Verify that sensitive information is removed from the metadata of user-submitted files unless storage is consented to by the user.</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</si>
  <si>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</si>
  <si>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</si>
  <si>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</si>
  <si>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</si>
  <si>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 xml:space="preserve"> .logout(logout -&gt; logout
                    .logoutUrl("/api/auth/logout") // Endpoint de logout da API
                    .addLogoutHandler((request, response, authentication) -&gt; {
                        // Força a instrução de destruição de dados no cliente via HTTP Header
                        response.setHeader("Clear-Site-Data", "\"cache\", \"cookies\", \"storage\"");
                    })
                )</t>
  </si>
  <si>
    <t>V14.3.2</t>
  </si>
  <si>
    <t>Verify that the application sets sufficient anti-caching HTTP response header fields (i.e., Cache-Control: no-store) so that sensitive data is not cached in browsers.</t>
  </si>
  <si>
    <t xml:space="preserve">anntation EnableWebSecurity </t>
  </si>
  <si>
    <t>V14.3.3</t>
  </si>
  <si>
    <t>Verify that data stored in browser storage (such as localStorage, sessionStorage, IndexedDB, or cookies) does not contain sensitive data, with the exception of session tokens.</t>
  </si>
  <si>
    <t>no Frontend</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</si>
  <si>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</si>
  <si>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</si>
  <si>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</si>
  <si>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</si>
  <si>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SR15</t>
  </si>
  <si>
    <t>V15.1.2</t>
  </si>
  <si>
    <t>Verify that an inventory catalog, such as software bill of materials (SBOM), is maintained of all third-party libraries in use, including verifying that components come from pre-defined, trusted, and continually maintained repositories.</t>
  </si>
  <si>
    <t>automatizado na pipeline em https://github.com/mei-desofs/desofs2026-wed_nap_5/blob/995dcd2dc1302bf10d99a6ace3df8a2503167ba2/.github/workflows/sca.yml</t>
  </si>
  <si>
    <t>https://github.com/mei-desofs/desofs2026-wed_nap_5/actions/runs/26042349904</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</si>
  <si>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</si>
  <si>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</si>
  <si>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V15.1.4</t>
  </si>
  <si>
    <t>Verify that application documentation highlights third-party libraries which are considered to be "risky components".</t>
  </si>
  <si>
    <t>V15.1.5</t>
  </si>
  <si>
    <t>Verify that application documentation highlights parts of the application where "dangerous functionality" is being used.</t>
  </si>
  <si>
    <t>V15.2</t>
  </si>
  <si>
    <t>Security Architecture and Dependencies</t>
  </si>
  <si>
    <t>V15.2.1</t>
  </si>
  <si>
    <t>Verify that the application only contains components which have not breached the documented update and remediation time frames.</t>
  </si>
  <si>
    <t>V15.2.2</t>
  </si>
  <si>
    <t>Verify that the application has implemented defenses against loss of availability due to functionality which is time-consuming or resource-demanding, based on the documented security decisions and strategies for this.</t>
  </si>
  <si>
    <t>V15.2.3</t>
  </si>
  <si>
    <t>Verify that the production environment only includes functionality that is required for the application to function, and does not expose extraneous functionality such as test code, sample snippets, and development functionality.</t>
  </si>
  <si>
    <t>pode ser comproavado pelo pom. spring-boot-starter-test e spring-security-test</t>
  </si>
  <si>
    <t>https://github.com/mei-desofs/desofs2026-wed_nap_5/blob/main/pom.xml</t>
  </si>
  <si>
    <t>V15.2.4</t>
  </si>
  <si>
    <t>Verify that third-party components and all of their transitive dependencies are included from the expected repository, whether internally owned or an external source, and that there is no risk of a dependency confusion attack.</t>
  </si>
  <si>
    <t>projeto integra ativamente o plugin dependency-check-maven da OWASP, que analisa continuamente a árvore de dependências em busca de anomalias, vulnerabilidades conhecidas</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</si>
  <si>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</si>
  <si>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</si>
  <si>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At the infrastructure level, the system uses containerization with Docker, which restricts the execution environment to an isolated sandbox.</t>
  </si>
  <si>
    <t>V15.3</t>
  </si>
  <si>
    <t>Defensive Coding</t>
  </si>
  <si>
    <t>V15.3.1</t>
  </si>
  <si>
    <t>Verify that the application only returns the required subset of fields from a data object. For example, it should not return an entire data object, as some individual fields should not be accessible to users.</t>
  </si>
  <si>
    <t>https://github.com/mei-desofs/desofs2026-wed_nap_5/tree/main/src/main/java/com/grupo/learningmore/dto/Response</t>
  </si>
  <si>
    <t>V15.3.2</t>
  </si>
  <si>
    <t>Verify that where the application backend makes calls to external URLs, it is configured to not follow redirects unless it is intended functionality.</t>
  </si>
  <si>
    <t>Backend only makes calls to localhosts connected via Docker</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</si>
  <si>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</si>
  <si>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</si>
  <si>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https://github.com/mei-desofs/desofs2026-wed_nap_5/tree/main/src/main/java/com/grupo/learningmore/dto/Request</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</si>
  <si>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</si>
  <si>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</si>
  <si>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server.forward-headers-strategy=framework</t>
  </si>
  <si>
    <t xml:space="preserve"> https://github.com/mei-desofs/desofs2026-wed_nap_5/blob/main/src/main/resources/application.properties</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</si>
  <si>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</si>
  <si>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</si>
  <si>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V15.3.6</t>
  </si>
  <si>
    <t>Verify that JavaScript code is written in a way that prevents prototype pollution, for example, by using Set() or Map() instead of object literals.</t>
  </si>
  <si>
    <t>Backend made with JAVA</t>
  </si>
  <si>
    <t>V15.3.7</t>
  </si>
  <si>
    <t>Verify that the application has defenses against HTTP parameter pollution attacks, particularly if the application framework makes no distinction about the source of request parameters (query string, body parameters, cookies, or header fields).</t>
  </si>
  <si>
    <t>Uso de @RequestBody,@RequestParam e @PathVariable nos controllers</t>
  </si>
  <si>
    <t>https://github.com/mei-desofs/desofs2026-wed_nap_5/tree/main/src/main/java/com/grupo/learningmore/api</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</si>
  <si>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</si>
  <si>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</si>
  <si>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</si>
  <si>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</si>
  <si>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The only class attributes are immutable (final) dependencies injected via the constructor. All data flow and manipulation of mutable information occurs exclusively through local variables and scoped parameters within the execution methods, which are natively isolated in the execution stack of each thread, mitigating the risks of race conditions or data corruption in a multi-threaded environment.</t>
  </si>
  <si>
    <t>https://github.com/mei-desofs/desofs2026-wed_nap_5/tree/main/src/main/java/com/grupo/learningmore/services</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</si>
  <si>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</si>
  <si>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</si>
  <si>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</si>
  <si>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</si>
  <si>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</si>
  <si>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</si>
  <si>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</si>
  <si>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</si>
  <si>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</si>
  <si>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</si>
  <si>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Logging requirements and events are defined, including authentication and critical system actions.</t>
  </si>
  <si>
    <t>FR23-27, SR16</t>
  </si>
  <si>
    <t>V16.2</t>
  </si>
  <si>
    <t>General Logging</t>
  </si>
  <si>
    <t>V16.2.1</t>
  </si>
  <si>
    <t>Verify that each log entry includes necessary metadata (such as when, where, who, what) that would allow for a detailed investigation of the timeline when an event happens.</t>
  </si>
  <si>
    <t>Logs include metadata such as timestamp, user identifier, and action details.</t>
  </si>
  <si>
    <t>https://github.com/mei-desofs/desofs2026-wed_nap_5/blob/main/src/main/java/com/grupo/learningmore/security/JwtFilter.java</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</si>
  <si>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</si>
  <si>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</si>
  <si>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Timestamps are included in logs, although time synchronization details are not fully specified.</t>
  </si>
  <si>
    <t>FR25</t>
  </si>
  <si>
    <t>V16.2.3</t>
  </si>
  <si>
    <t>Verify that the application only stores or broadcasts logs to the files and services that are documented in the log inventory.</t>
  </si>
  <si>
    <t>The application does not have routines for manually writing to local files (java.io.File). The flow is centralized in the standard JVM output streams (STDOUT and STDERR), allowing the runtime environment (Docker / Kubernetes) to intercept and forward the data exclusively to the documented corporate log aggregator. The metadata for critical transactions intercepted in AssignmentService.java has a closed and controlled pipeline, being persisted only in the dedicated audit table (assignment_audit_log) within the official PostgreSQL database.</t>
  </si>
  <si>
    <t>https://github.com/mei-desofs/desofs2026-wed_nap_5/tree/main/src/main/java/com/grupo/learningmore/domain/assignment</t>
  </si>
  <si>
    <t>V16.2.4</t>
  </si>
  <si>
    <t>Verify that logs can be read and correlated by the log processor that is in use, preferably by using a common logging format.</t>
  </si>
  <si>
    <t>Logs are structured to support monitoring and analysis of system activity.</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</si>
  <si>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</si>
  <si>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</si>
  <si>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Password processing is natively delegated to the Spring Security ecosystem and encapsulated via BCryptPasswordEncoder. There are no manual logging routines in the authentication flows (SecurityConfig) or user management, ensuring that plaintext passwords are never exposed.In the JwtFilter.java class, the JWT token received in the HTTP header is completely omitted from the log messages (log.info("Received JWT token");). The application restricts analytical logging to only public identity metadata (username and role), shielding the session token from malicious capture.</t>
  </si>
  <si>
    <t>V16.3</t>
  </si>
  <si>
    <t>Security Events</t>
  </si>
  <si>
    <t>V16.3.1</t>
  </si>
  <si>
    <t>Verify that all authentication operations are logged, including successful and unsuccessful attempts. Additional metadata, such as the type of authentication or factors used, should also be collected.</t>
  </si>
  <si>
    <t xml:space="preserve">Once the primary credentials are validated and the session token is verified by the security pipeline, the system issues a confirmation log explicitly stating the user's identifier. </t>
  </si>
  <si>
    <t>V16.3.2</t>
  </si>
  <si>
    <t>Verify that failed authorization attempts are logged. For L3, this must include logging all authorization decisions, including logging when sensitive data is accessed (without logging the sensitive data itself).</t>
  </si>
  <si>
    <t>In the JwtService.java class, the isTokenValid method monitors structural failures, corrupted signatures, or expired tokens using the catch block (JwtException e). These failures result in immediate access denial and alerts being issued in the security console.</t>
  </si>
  <si>
    <t>V16.3.3</t>
  </si>
  <si>
    <t>Verify that the application logs the security events that are defined in the documentation and also logs attempts to bypass the security controls, such as input validation, business logic, and anti-automation.</t>
  </si>
  <si>
    <t>For example the AssignmentService.java component, any attempt to send payloads with corrupted or logically invalid data (such as retroactive deadlines) is intercepted and logged before persistence (log.warn("Invalid deadline provided...")</t>
  </si>
  <si>
    <t>V16.3.4</t>
  </si>
  <si>
    <t>Verify that the application logs unexpected errors and security control failures such as backend TLS failures.</t>
  </si>
  <si>
    <t>Attempts to breach privileges or gain unauthorized access triggered by the Spring Security ecosystem are natively intercepted by the handleAccessDeniedException and handleSpringSecurityAccessDeniedException methods, generating automatic audit logs with a WARN severity level containing the exact type of violation.The handleGlobalException method acts as a universal catcher mapped to Exception.class. Any unexpected runtime failures, including critical low-level network errors and TLS handshake failures on the backend (such as javax.net.ssl.SSLException), are forcibly caught.</t>
  </si>
  <si>
    <t>https://github.com/mei-desofs/desofs2026-wed_nap_5/blob/main/src/main/java/com/grupo/learningmore/config/GlobalExceptionHandler.java</t>
  </si>
  <si>
    <t>V16.4</t>
  </si>
  <si>
    <t>Log Protection</t>
  </si>
  <si>
    <t>V16.4.1</t>
  </si>
  <si>
    <t>Verify that all logging components appropriately encode data to prevent log injection.</t>
  </si>
  <si>
    <t>In all mapped components (such as GlobalExceptionHandler and AssignmentService), logging strictly avoids direct concatenation of strings from external inputs. You use the native SLF4J parameterization API (logger.warn("Template... {}", argument);), which prevents malicious payloads from altering the syntactic structure of the log line.</t>
  </si>
  <si>
    <t>V16.4.2</t>
  </si>
  <si>
    <t>Verify that logs are protected from unauthorized access and cannot be modified.</t>
  </si>
  <si>
    <t>The application does not store logs locally on the server's file system. The flow is directed to the JVM's STDOUT stream, where it is immediately intercepted and transported to a centralized, protected log aggregator. This final repository uses the WORM (Write Once, Read Many) principle, preventing any routine modification, truncation, or deletion of historical records. This from  the SLF4J library</t>
  </si>
  <si>
    <t>V16.4.3</t>
  </si>
  <si>
    <t>Verify that logs are securely transmitted to a logically separate system for analysis, detection, alerting, and escalation. The aim is to ensure that if the application is breached, the logs are not compromised.</t>
  </si>
  <si>
    <t>Logs are sent to the JVM's standard STDOUT stream. Access control and immutability of these records depend directly on the permissions of the user running the process on the server.</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</si>
  <si>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</si>
  <si>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</si>
  <si>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</si>
  <si>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</si>
  <si>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Whenever an unexpected error or unhandled runtime exception occurs, the handleGlobalException method intercepts the event and formats a standardized HTTP 500 response containing only the literal "INTERNAL_SERVER_ERROR". The same principle applies to security and validation failures, which return static messages such as "ACCESS_DENIED" and "VALIDATION_ERROR".</t>
  </si>
  <si>
    <t>V16.5.2</t>
  </si>
  <si>
    <t>Verify that the application continues to operate securely when external resource access fails, for example, by using patterns such as circuit breakers or graceful degradation.</t>
  </si>
  <si>
    <t>If a severe unavailability occurs in an external resource (such as the PostgreSQL Database), the connectivity exception is forcibly caught by the GlobalExceptionHandler.java component. The system applies graceful degradation to the affected route, retaining the error in the server's internal layer (logger.error) and shielding the API against erratic behavior or exposure of network data.</t>
  </si>
  <si>
    <t>V16.5.3</t>
  </si>
  <si>
    <t>Verify that the application fails gracefully and securely, including when an exception occurs, preventing fail-open conditions such as processing a transaction despite errors resulting from validation logic.</t>
  </si>
  <si>
    <t>Critical state mutation methods (as demonstrated in ChatService.java and AssignmentService.java) are shielded with the @Transactional directive. Any runtime exception thrown during the flow immediately aborts the operation and forces a full rollback in the database, preventing the writing of corrupted states.</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</si>
  <si>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</si>
  <si>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</si>
  <si>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</si>
  <si>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</si>
  <si>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</si>
  <si>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</si>
  <si>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V17.1.2</t>
  </si>
  <si>
    <t>Verify that the Traversal Using Relays around NAT (TURN) service is not susceptible to resource exhaustion when legitimate users attempt to open a large number of ports on the TURN server.</t>
  </si>
  <si>
    <t>V17.2</t>
  </si>
  <si>
    <t>Media</t>
  </si>
  <si>
    <t>V17.2.1</t>
  </si>
  <si>
    <t>Verify that the key for the Datagram Transport Layer Security (DTLS) certificate is managed and protected based on the documented policy for management of cryptographic keys.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</si>
  <si>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</si>
  <si>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</si>
  <si>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</si>
  <si>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</si>
  <si>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</si>
  <si>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</si>
  <si>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</si>
  <si>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</si>
  <si>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</si>
  <si>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</si>
  <si>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</si>
  <si>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</si>
  <si>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</si>
  <si>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</si>
  <si>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V17.3</t>
  </si>
  <si>
    <t>Signaling</t>
  </si>
  <si>
    <t>V17.3.1</t>
  </si>
  <si>
    <t>Verify that the signaling server is able to continue processing legitimate incoming signaling messages during a flood attack. This should be achieved by implementing rate limiting at the signaling level.</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</si>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</sst>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rgb="FF000000"/>
      <name val="Calibri"/>
      <family val="2"/>
      <charset val="1"/>
    </font>
    <font>
      <b/>
      <sz val="16"/>
      <color rgb="FFFFFFFF"/>
      <name val="Cambria"/>
      <charset val="1"/>
    </font>
    <font>
      <i/>
      <sz val="10"/>
      <color rgb="FF595959"/>
      <name val="Cambria"/>
      <charset val="1"/>
    </font>
    <font>
      <b/>
      <sz val="10"/>
      <name val="Cambria"/>
      <charset val="1"/>
    </font>
    <font>
      <b/>
      <sz val="9"/>
      <name val="Cambria"/>
      <charset val="1"/>
    </font>
    <font>
      <b/>
      <sz val="9"/>
      <color rgb="FFFFFFFF"/>
      <name val="Cambria"/>
      <charset val="1"/>
    </font>
    <font>
      <sz val="10"/>
      <name val="Cambria"/>
      <charset val="1"/>
    </font>
    <font>
      <b/>
      <sz val="11"/>
      <color rgb="FFFFFFFF"/>
      <name val="Cambria"/>
      <charset val="1"/>
    </font>
    <font>
      <b/>
      <sz val="10"/>
      <color rgb="FFFFFFFF"/>
      <name val="Cambria"/>
      <charset val="1"/>
    </font>
    <font>
      <b/>
      <sz val="10"/>
      <color rgb="FF1F3864"/>
      <name val="Cambria"/>
      <charset val="1"/>
    </font>
    <font>
      <sz val="8"/>
      <name val="Calibri"/>
      <family val="2"/>
      <charset val="1"/>
    </font>
    <font>
      <u/>
      <sz val="11"/>
      <color theme="10"/>
      <name val="Calibri"/>
      <family val="2"/>
      <charset val="1"/>
    </font>
    <font>
      <sz val="11"/>
      <color rgb="FF000000"/>
      <name val="Consolas, Monaco, Menlo, Courie"/>
    </font>
  </fonts>
  <fills count="10">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style="thin">
        <color rgb="FFBFBFBF"/>
      </top>
      <bottom style="thin">
        <color rgb="FFBFBFBF"/>
      </bottom>
      <diagonal/>
    </border>
    <border>
      <left/>
      <right style="thin">
        <color rgb="FFBFBFBF"/>
      </right>
      <top/>
      <bottom style="thin">
        <color rgb="FFBFBFBF"/>
      </bottom>
      <diagonal/>
    </border>
  </borders>
  <cellStyleXfs count="3">
    <xf numFmtId="0" fontId="0" fillId="0" borderId="0"/>
    <xf numFmtId="0" fontId="11" fillId="0" borderId="0" applyNumberFormat="0" applyFill="0" applyBorder="0" applyAlignment="0" applyProtection="0"/>
    <xf numFmtId="0" fontId="11" fillId="0" borderId="0" applyNumberFormat="0" applyFill="0" applyBorder="0" applyAlignment="0" applyProtection="0"/>
  </cellStyleXfs>
  <cellXfs count="44">
    <xf numFmtId="0" fontId="0" fillId="0" borderId="0" xfId="0"/>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9" fontId="6" fillId="4" borderId="1" xfId="0" applyNumberFormat="1" applyFont="1" applyFill="1" applyBorder="1" applyAlignment="1">
      <alignment horizontal="center" vertical="center"/>
    </xf>
    <xf numFmtId="0" fontId="7" fillId="2" borderId="1" xfId="0" applyFont="1" applyFill="1" applyBorder="1"/>
    <xf numFmtId="0" fontId="8" fillId="2" borderId="1" xfId="0" applyFont="1" applyFill="1" applyBorder="1" applyAlignment="1">
      <alignment horizontal="center" vertical="center"/>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3"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xf numFmtId="0" fontId="11" fillId="3" borderId="1" xfId="1" applyFill="1" applyBorder="1" applyAlignment="1">
      <alignment horizontal="left" vertical="top" wrapText="1"/>
    </xf>
    <xf numFmtId="0" fontId="11" fillId="4" borderId="1" xfId="1" applyFill="1" applyBorder="1" applyAlignment="1">
      <alignment horizontal="left" vertical="top" wrapText="1"/>
    </xf>
    <xf numFmtId="0" fontId="0" fillId="3" borderId="1" xfId="0" applyFill="1" applyBorder="1" applyAlignment="1">
      <alignment wrapText="1"/>
    </xf>
    <xf numFmtId="0" fontId="0" fillId="4" borderId="1" xfId="0" applyFill="1" applyBorder="1" applyAlignment="1">
      <alignment wrapText="1"/>
    </xf>
    <xf numFmtId="0" fontId="0" fillId="3" borderId="2" xfId="0" applyFill="1" applyBorder="1" applyAlignment="1">
      <alignment wrapText="1"/>
    </xf>
    <xf numFmtId="0" fontId="0" fillId="4" borderId="2" xfId="0" applyFill="1" applyBorder="1" applyAlignment="1">
      <alignment wrapText="1"/>
    </xf>
    <xf numFmtId="0" fontId="0" fillId="3" borderId="3" xfId="0" applyFill="1" applyBorder="1" applyAlignment="1">
      <alignment wrapText="1"/>
    </xf>
    <xf numFmtId="0" fontId="0" fillId="4" borderId="4" xfId="0" applyFill="1" applyBorder="1" applyAlignment="1">
      <alignment wrapText="1"/>
    </xf>
    <xf numFmtId="0" fontId="0" fillId="3" borderId="4" xfId="0" applyFill="1" applyBorder="1" applyAlignment="1">
      <alignment wrapText="1"/>
    </xf>
    <xf numFmtId="0" fontId="9" fillId="5" borderId="2" xfId="0" applyFont="1" applyFill="1" applyBorder="1"/>
    <xf numFmtId="0" fontId="9" fillId="5" borderId="4" xfId="0" applyFont="1" applyFill="1" applyBorder="1"/>
    <xf numFmtId="0" fontId="12" fillId="3" borderId="1" xfId="0" applyFont="1" applyFill="1" applyBorder="1" applyAlignment="1">
      <alignment horizontal="left" vertical="top" wrapText="1"/>
    </xf>
    <xf numFmtId="0" fontId="11" fillId="3" borderId="1" xfId="2" applyFill="1" applyBorder="1" applyAlignment="1">
      <alignment horizontal="left" vertical="top" wrapText="1"/>
    </xf>
    <xf numFmtId="0" fontId="11" fillId="4" borderId="1" xfId="2" applyFill="1" applyBorder="1" applyAlignment="1">
      <alignment horizontal="left" vertical="top" wrapText="1"/>
    </xf>
    <xf numFmtId="0" fontId="11" fillId="0" borderId="0" xfId="2"/>
    <xf numFmtId="0" fontId="11" fillId="3" borderId="4" xfId="2" applyFill="1" applyBorder="1" applyAlignment="1">
      <alignment wrapText="1"/>
    </xf>
    <xf numFmtId="0" fontId="11" fillId="4" borderId="4" xfId="2" applyFill="1" applyBorder="1" applyAlignment="1">
      <alignment wrapText="1"/>
    </xf>
    <xf numFmtId="0" fontId="1" fillId="2" borderId="0" xfId="0" applyFont="1" applyFill="1" applyAlignment="1">
      <alignment horizontal="center" vertical="center"/>
    </xf>
    <xf numFmtId="0" fontId="2" fillId="0" borderId="0" xfId="0" applyFont="1" applyAlignment="1">
      <alignment horizontal="center" vertical="center"/>
    </xf>
    <xf numFmtId="0" fontId="3" fillId="0" borderId="0" xfId="0" applyFont="1" applyAlignment="1"/>
  </cellXfs>
  <cellStyles count="3">
    <cellStyle name="Hiperligação" xfId="1" builtinId="8"/>
    <cellStyle name="Hyperlink" xfId="2" xr:uid="{00000000-000B-0000-0000-000008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c:style val="2"/>
  <c:chart>
    <c:autoTitleDeleted val="1"/>
    <c:plotArea>
      <c:layout/>
      <c:barChart>
        <c:barDir val="bar"/>
        <c:grouping val="clustered"/>
        <c:varyColors val="0"/>
        <c:ser>
          <c:idx val="0"/>
          <c:order val="0"/>
          <c:tx>
            <c:strRef>
              <c:f>Summary!$E$5</c:f>
              <c:strCache>
                <c:ptCount val="1"/>
                <c:pt idx="0">
                  <c:v>L1
%</c:v>
                </c:pt>
              </c:strCache>
            </c:strRef>
          </c:tx>
          <c:spPr>
            <a:solidFill>
              <a:srgbClr val="C6EFCE"/>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0.75</c:v>
                </c:pt>
                <c:pt idx="1">
                  <c:v>1</c:v>
                </c:pt>
                <c:pt idx="2">
                  <c:v>0</c:v>
                </c:pt>
                <c:pt idx="3">
                  <c:v>0.5</c:v>
                </c:pt>
                <c:pt idx="4">
                  <c:v>0.75</c:v>
                </c:pt>
                <c:pt idx="5">
                  <c:v>0.53846153846153844</c:v>
                </c:pt>
                <c:pt idx="6">
                  <c:v>0.66666666666666663</c:v>
                </c:pt>
                <c:pt idx="7">
                  <c:v>1</c:v>
                </c:pt>
                <c:pt idx="8">
                  <c:v>1</c:v>
                </c:pt>
                <c:pt idx="9">
                  <c:v>0</c:v>
                </c:pt>
                <c:pt idx="10">
                  <c:v>1</c:v>
                </c:pt>
                <c:pt idx="11">
                  <c:v>0.33333333333333331</c:v>
                </c:pt>
                <c:pt idx="12">
                  <c:v>1</c:v>
                </c:pt>
                <c:pt idx="13">
                  <c:v>1</c:v>
                </c:pt>
                <c:pt idx="14">
                  <c:v>0.66666666666666663</c:v>
                </c:pt>
                <c:pt idx="15" formatCode="General">
                  <c:v>0</c:v>
                </c:pt>
                <c:pt idx="16" formatCode="General">
                  <c:v>0</c:v>
                </c:pt>
              </c:numCache>
            </c:numRef>
          </c:val>
          <c:extLst>
            <c:ext xmlns:c16="http://schemas.microsoft.com/office/drawing/2014/chart" uri="{C3380CC4-5D6E-409C-BE32-E72D297353CC}">
              <c16:uniqueId val="{00000000-F3BA-496B-B76B-BE146F53FE30}"/>
            </c:ext>
          </c:extLst>
        </c:ser>
        <c:ser>
          <c:idx val="1"/>
          <c:order val="1"/>
          <c:tx>
            <c:strRef>
              <c:f>Summary!$H$5</c:f>
              <c:strCache>
                <c:ptCount val="1"/>
                <c:pt idx="0">
                  <c:v>L2
%</c:v>
                </c:pt>
              </c:strCache>
            </c:strRef>
          </c:tx>
          <c:spPr>
            <a:solidFill>
              <a:srgbClr val="FFEB9C"/>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0.47368421052631576</c:v>
                </c:pt>
                <c:pt idx="1">
                  <c:v>0.8571428571428571</c:v>
                </c:pt>
                <c:pt idx="2">
                  <c:v>0</c:v>
                </c:pt>
                <c:pt idx="3">
                  <c:v>0</c:v>
                </c:pt>
                <c:pt idx="4">
                  <c:v>0.2</c:v>
                </c:pt>
                <c:pt idx="5">
                  <c:v>0.18181818181818182</c:v>
                </c:pt>
                <c:pt idx="6">
                  <c:v>0.41666666666666669</c:v>
                </c:pt>
                <c:pt idx="7">
                  <c:v>0.33333333333333331</c:v>
                </c:pt>
                <c:pt idx="8">
                  <c:v>0.33333333333333331</c:v>
                </c:pt>
                <c:pt idx="9">
                  <c:v>0</c:v>
                </c:pt>
                <c:pt idx="10">
                  <c:v>0.63636363636363635</c:v>
                </c:pt>
                <c:pt idx="11">
                  <c:v>0</c:v>
                </c:pt>
                <c:pt idx="12">
                  <c:v>0.41666666666666669</c:v>
                </c:pt>
                <c:pt idx="13">
                  <c:v>0.8571428571428571</c:v>
                </c:pt>
                <c:pt idx="14">
                  <c:v>0.6</c:v>
                </c:pt>
                <c:pt idx="15">
                  <c:v>1</c:v>
                </c:pt>
                <c:pt idx="16">
                  <c:v>0</c:v>
                </c:pt>
              </c:numCache>
            </c:numRef>
          </c:val>
          <c:extLst>
            <c:ext xmlns:c16="http://schemas.microsoft.com/office/drawing/2014/chart" uri="{C3380CC4-5D6E-409C-BE32-E72D297353CC}">
              <c16:uniqueId val="{00000001-F3BA-496B-B76B-BE146F53FE30}"/>
            </c:ext>
          </c:extLst>
        </c:ser>
        <c:ser>
          <c:idx val="2"/>
          <c:order val="2"/>
          <c:tx>
            <c:strRef>
              <c:f>Summary!$K$5</c:f>
              <c:strCache>
                <c:ptCount val="1"/>
                <c:pt idx="0">
                  <c:v>L3
%</c:v>
                </c:pt>
              </c:strCache>
            </c:strRef>
          </c:tx>
          <c:spPr>
            <a:solidFill>
              <a:srgbClr val="FABF8F"/>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c:v>
                </c:pt>
                <c:pt idx="1">
                  <c:v>0</c:v>
                </c:pt>
                <c:pt idx="2">
                  <c:v>8.3333333333333329E-2</c:v>
                </c:pt>
                <c:pt idx="3">
                  <c:v>0.33333333333333331</c:v>
                </c:pt>
                <c:pt idx="4">
                  <c:v>0</c:v>
                </c:pt>
                <c:pt idx="5">
                  <c:v>0.16666666666666666</c:v>
                </c:pt>
                <c:pt idx="6">
                  <c:v>0</c:v>
                </c:pt>
                <c:pt idx="7">
                  <c:v>0.5</c:v>
                </c:pt>
                <c:pt idx="8" formatCode="General">
                  <c:v>0</c:v>
                </c:pt>
                <c:pt idx="9">
                  <c:v>0</c:v>
                </c:pt>
                <c:pt idx="10">
                  <c:v>0</c:v>
                </c:pt>
                <c:pt idx="11">
                  <c:v>0</c:v>
                </c:pt>
                <c:pt idx="12">
                  <c:v>0.25</c:v>
                </c:pt>
                <c:pt idx="13">
                  <c:v>0</c:v>
                </c:pt>
                <c:pt idx="14">
                  <c:v>0.375</c:v>
                </c:pt>
                <c:pt idx="15">
                  <c:v>0</c:v>
                </c:pt>
              </c:numCache>
            </c:numRef>
          </c:val>
          <c:extLst>
            <c:ext xmlns:c16="http://schemas.microsoft.com/office/drawing/2014/chart" uri="{C3380CC4-5D6E-409C-BE32-E72D297353CC}">
              <c16:uniqueId val="{00000002-F3BA-496B-B76B-BE146F53FE30}"/>
            </c:ext>
          </c:extLst>
        </c:ser>
        <c:ser>
          <c:idx val="3"/>
          <c:order val="3"/>
          <c:tx>
            <c:strRef>
              <c:f>Summary!$M$5</c:f>
              <c:strCache>
                <c:ptCount val="1"/>
                <c:pt idx="0">
                  <c:v>Overall
%</c:v>
                </c:pt>
              </c:strCache>
            </c:strRef>
          </c:tx>
          <c:spPr>
            <a:solidFill>
              <a:srgbClr val="579D1C"/>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0.5</c:v>
                </c:pt>
                <c:pt idx="1">
                  <c:v>0.76923076923076927</c:v>
                </c:pt>
                <c:pt idx="2">
                  <c:v>3.2258064516129031E-2</c:v>
                </c:pt>
                <c:pt idx="3">
                  <c:v>0.1875</c:v>
                </c:pt>
                <c:pt idx="4">
                  <c:v>0.30769230769230771</c:v>
                </c:pt>
                <c:pt idx="5">
                  <c:v>0.27659574468085107</c:v>
                </c:pt>
                <c:pt idx="6">
                  <c:v>0.47368421052631576</c:v>
                </c:pt>
                <c:pt idx="7">
                  <c:v>0.61538461538461542</c:v>
                </c:pt>
                <c:pt idx="8">
                  <c:v>0.7142857142857143</c:v>
                </c:pt>
                <c:pt idx="9">
                  <c:v>0</c:v>
                </c:pt>
                <c:pt idx="10">
                  <c:v>0.41666666666666669</c:v>
                </c:pt>
                <c:pt idx="11">
                  <c:v>8.3333333333333329E-2</c:v>
                </c:pt>
                <c:pt idx="12">
                  <c:v>0.38095238095238093</c:v>
                </c:pt>
                <c:pt idx="13">
                  <c:v>0.61538461538461542</c:v>
                </c:pt>
                <c:pt idx="14">
                  <c:v>0.52380952380952384</c:v>
                </c:pt>
                <c:pt idx="15">
                  <c:v>0.94117647058823528</c:v>
                </c:pt>
                <c:pt idx="16">
                  <c:v>0</c:v>
                </c:pt>
              </c:numCache>
            </c:numRef>
          </c:val>
          <c:extLst>
            <c:ext xmlns:c16="http://schemas.microsoft.com/office/drawing/2014/chart" uri="{C3380CC4-5D6E-409C-BE32-E72D297353CC}">
              <c16:uniqueId val="{00000003-F3BA-496B-B76B-BE146F53FE30}"/>
            </c:ext>
          </c:extLst>
        </c:ser>
        <c:dLbls>
          <c:showLegendKey val="0"/>
          <c:showVal val="0"/>
          <c:showCatName val="0"/>
          <c:showSerName val="0"/>
          <c:showPercent val="0"/>
          <c:showBubbleSize val="0"/>
        </c:dLbls>
        <c:gapWidth val="100"/>
        <c:axId val="28005530"/>
        <c:axId val="73737639"/>
      </c:barChart>
      <c:catAx>
        <c:axId val="28005530"/>
        <c:scaling>
          <c:orientation val="minMax"/>
        </c:scaling>
        <c:delete val="0"/>
        <c:axPos val="l"/>
        <c:numFmt formatCode="General" sourceLinked="1"/>
        <c:majorTickMark val="out"/>
        <c:minorTickMark val="none"/>
        <c:tickLblPos val="nextTo"/>
        <c:spPr>
          <a:ln>
            <a:solidFill>
              <a:srgbClr val="B3B3B3"/>
            </a:solidFill>
          </a:ln>
        </c:spPr>
        <c:txPr>
          <a:bodyPr/>
          <a:lstStyle/>
          <a:p>
            <a:pPr>
              <a:defRPr sz="1000" b="0" strike="noStrike" spc="-1">
                <a:latin typeface="Arial"/>
              </a:defRPr>
            </a:pPr>
            <a:endParaRPr lang="pt-PT"/>
          </a:p>
        </c:txPr>
        <c:crossAx val="73737639"/>
        <c:crosses val="autoZero"/>
        <c:auto val="1"/>
        <c:lblAlgn val="ctr"/>
        <c:lblOffset val="100"/>
        <c:noMultiLvlLbl val="0"/>
      </c:catAx>
      <c:valAx>
        <c:axId val="73737639"/>
        <c:scaling>
          <c:orientation val="minMax"/>
        </c:scaling>
        <c:delete val="0"/>
        <c:axPos val="b"/>
        <c:majorGridlines>
          <c:spPr>
            <a:ln>
              <a:solidFill>
                <a:srgbClr val="B3B3B3"/>
              </a:solidFill>
            </a:ln>
          </c:spPr>
        </c:majorGridlines>
        <c:numFmt formatCode="0%" sourceLinked="0"/>
        <c:majorTickMark val="out"/>
        <c:minorTickMark val="none"/>
        <c:tickLblPos val="nextTo"/>
        <c:spPr>
          <a:ln>
            <a:solidFill>
              <a:srgbClr val="B3B3B3"/>
            </a:solidFill>
          </a:ln>
        </c:spPr>
        <c:txPr>
          <a:bodyPr/>
          <a:lstStyle/>
          <a:p>
            <a:pPr>
              <a:defRPr sz="1000" b="0" strike="noStrike" spc="-1">
                <a:latin typeface="Arial"/>
              </a:defRPr>
            </a:pPr>
            <a:endParaRPr lang="pt-PT"/>
          </a:p>
        </c:txPr>
        <c:crossAx val="28005530"/>
        <c:crosses val="autoZero"/>
        <c:crossBetween val="between"/>
      </c:valAx>
      <c:spPr>
        <a:noFill/>
        <a:ln>
          <a:solidFill>
            <a:srgbClr val="B3B3B3"/>
          </a:solidFill>
        </a:ln>
      </c:spPr>
    </c:plotArea>
    <c:legend>
      <c:legendPos val="r"/>
      <c:overlay val="0"/>
      <c:spPr>
        <a:noFill/>
        <a:ln>
          <a:noFill/>
        </a:ln>
      </c:spPr>
      <c:txPr>
        <a:bodyPr/>
        <a:lstStyle/>
        <a:p>
          <a:pPr>
            <a:defRPr sz="1000" b="0" strike="noStrike" spc="-1">
              <a:latin typeface="Arial"/>
            </a:defRPr>
          </a:pPr>
          <a:endParaRPr lang="pt-PT"/>
        </a:p>
      </c:txPr>
    </c:legend>
    <c:plotVisOnly val="1"/>
    <c:dispBlanksAs val="gap"/>
    <c:showDLblsOverMax val="1"/>
  </c:chart>
  <c:spPr>
    <a:solidFill>
      <a:srgbClr val="FFFFFF"/>
    </a:solidFill>
    <a:ln w="9360">
      <a:noFill/>
    </a:ln>
  </c:spPr>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38880</xdr:colOff>
      <xdr:row>24</xdr:row>
      <xdr:rowOff>10440</xdr:rowOff>
    </xdr:from>
    <xdr:to>
      <xdr:col>13</xdr:col>
      <xdr:colOff>270</xdr:colOff>
      <xdr:row>47</xdr:row>
      <xdr:rowOff>56880</xdr:rowOff>
    </xdr:to>
    <xdr:graphicFrame macro="">
      <xdr:nvGraphicFramePr>
        <xdr:cNvPr id="2" name="Gráfico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github.com/mei-desofs/desofs2026-wed_nap_5/blob/phase2-sprint2/src/main/java/com/grupo/learningmore/security/FetchMetadataFilter.java" TargetMode="External"/><Relationship Id="rId2" Type="http://schemas.openxmlformats.org/officeDocument/2006/relationships/hyperlink" Target="https://github.com/mei-desofs/desofs2026-wed_nap_5/blob/main/src/main/java/com/grupo/learningmore/services/ChatService.java" TargetMode="External"/><Relationship Id="rId1" Type="http://schemas.openxmlformats.org/officeDocument/2006/relationships/hyperlink" Target="https://github.com/mei-desofs/desofs2026-wed_nap_5/blob/main/src/main/java/com/grupo/learningmore/services/ChatService.java" TargetMode="External"/><Relationship Id="rId5" Type="http://schemas.openxmlformats.org/officeDocument/2006/relationships/hyperlink" Target="https://github.com/mei-desofs/desofs2026-wed_nap_5/blob/phase2-sprint2/src/main/java/com/grupo/learningmore/security/JwtFilter.java" TargetMode="External"/><Relationship Id="rId4" Type="http://schemas.openxmlformats.org/officeDocument/2006/relationships/hyperlink" Target="https://github.com/mei-desofs/desofs2026-wed_nap_5/blob/main/src/main/java/com/grupo/learningmore/services/ChatService.java"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github.com/mei-desofs/desofs2026-wed_nap_5/tree/phase2-sprint2/src/main/java/com/grupo/learningmore/dto" TargetMode="External"/><Relationship Id="rId7" Type="http://schemas.openxmlformats.org/officeDocument/2006/relationships/hyperlink" Target="https://github.com/mei-desofs/desofs2026-wed_nap_5/tree/phase2-sprint2/src/main/java/com/grupo/learningmore/services" TargetMode="External"/><Relationship Id="rId2" Type="http://schemas.openxmlformats.org/officeDocument/2006/relationships/hyperlink" Target="https://github.com/mei-desofs/desofs2026-wed_nap_5/tree/phase2-sprint2/src/main/java/com/grupo/learningmore/api" TargetMode="External"/><Relationship Id="rId1" Type="http://schemas.openxmlformats.org/officeDocument/2006/relationships/hyperlink" Target="https://github.com/mei-desofs/desofs2026-wed_nap_5/tree/phase2-sprint2/src/main/java/com/grupo/learningmore/dto" TargetMode="External"/><Relationship Id="rId6" Type="http://schemas.openxmlformats.org/officeDocument/2006/relationships/hyperlink" Target="https://github.com/mei-desofs/desofs2026-wed_nap_5/tree/phase2-sprint2/src/main/java/com/grupo/learningmore/services" TargetMode="External"/><Relationship Id="rId5" Type="http://schemas.openxmlformats.org/officeDocument/2006/relationships/hyperlink" Target="https://github.com/mei-desofs/desofs2026-wed_nap_5/tree/phase2-sprint2/src/main/java/com/grupo/learningmore/services" TargetMode="External"/><Relationship Id="rId4" Type="http://schemas.openxmlformats.org/officeDocument/2006/relationships/hyperlink" Target="https://github.com/mei-desofs/desofs2026-wed_nap_5/blob/phase2-sprint2/src/main/java/com/grupo/learningmore/services/SubmissionService.java"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github.com/mei-desofs/desofs2026-wed_nap_5/blob/b2cfaaba63c299084e335ed6f5436d11c298d492/src/main/java/com/grupo/learningmore/security/PasswordValidator.java"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github.com/mei-desofs/desofs2026-wed_nap_5/blob/main/src/main/java/com/grupo/learningmore/api/CourseController.java"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github.com/mei-desofs/desofs2026-wed_nap_5/blob/main/src/main/java/com/grupo/learningmore/security/PasswordConfig.java" TargetMode="External"/><Relationship Id="rId2" Type="http://schemas.openxmlformats.org/officeDocument/2006/relationships/hyperlink" Target="https://github.com/mei-desofs/desofs2026-wed_nap_5/tree/main/src/main/java/com/grupo/learningmore/domain" TargetMode="External"/><Relationship Id="rId1" Type="http://schemas.openxmlformats.org/officeDocument/2006/relationships/hyperlink" Target="https://github.com/mei-desofs/desofs2026-wed_nap_5/blob/main/src/main/java/com/grupo/learningmore/domain/user/User.java" TargetMode="External"/><Relationship Id="rId5" Type="http://schemas.openxmlformats.org/officeDocument/2006/relationships/hyperlink" Target="https://github.com/mei-desofs/desofs2026-wed_nap_5/blob/main/src/main/java/com/grupo/learningmore/domain/user/User.java" TargetMode="External"/><Relationship Id="rId4" Type="http://schemas.openxmlformats.org/officeDocument/2006/relationships/hyperlink" Target="https://github.com/mei-desofs/desofs2026-wed_nap_5/blob/main/src/main/java/com/grupo/learningmore/security/JwtService.java"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localhost:9393/"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github.com/mei-desofs/desofs2026-wed_nap_5/blob/main/src/main/resources/application.properties" TargetMode="External"/></Relationships>
</file>

<file path=xl/worksheets/_rels/sheet15.xml.rels><?xml version="1.0" encoding="UTF-8" standalone="yes"?>
<Relationships xmlns="http://schemas.openxmlformats.org/package/2006/relationships"><Relationship Id="rId2" Type="http://schemas.openxmlformats.org/officeDocument/2006/relationships/hyperlink" Target="https://github.com/mei-desofs/desofs2026-wed_nap_5/blob/main/src/main/java/com/grupo/learningmore/security/SecurityConfig.java" TargetMode="External"/><Relationship Id="rId1" Type="http://schemas.openxmlformats.org/officeDocument/2006/relationships/hyperlink" Target="https://github.com/mei-desofs/desofs2026-wed_nap_5/blob/main/src/main/java/com/grupo/learningmore/security/SecurityConfig.java"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github.com/mei-desofs/desofs2026-wed_nap_5/tree/main/src/main/java/com/grupo/learningmore/services" TargetMode="External"/><Relationship Id="rId1" Type="http://schemas.openxmlformats.org/officeDocument/2006/relationships/hyperlink" Target="https://github.com/mei-desofs/desofs2026-wed_nap_5/tree/main/src/main/java/com/grupo/learningmore/dto/Response"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github.com/mei-desofs/desofs2026-wed_nap_5/blob/main/src/main/java/com/grupo/learningmore/config/GlobalExceptionHandler.java" TargetMode="External"/><Relationship Id="rId3" Type="http://schemas.openxmlformats.org/officeDocument/2006/relationships/hyperlink" Target="https://github.com/mei-desofs/desofs2026-wed_nap_5/tree/main/src/main/java/com/grupo/learningmore/domain/assignment" TargetMode="External"/><Relationship Id="rId7" Type="http://schemas.openxmlformats.org/officeDocument/2006/relationships/hyperlink" Target="https://github.com/mei-desofs/desofs2026-wed_nap_5/tree/main/src/main/java/com/grupo/learningmore/services" TargetMode="External"/><Relationship Id="rId12" Type="http://schemas.openxmlformats.org/officeDocument/2006/relationships/hyperlink" Target="https://github.com/mei-desofs/desofs2026-wed_nap_5/tree/main/src/main/java/com/grupo/learningmore/services" TargetMode="External"/><Relationship Id="rId2" Type="http://schemas.openxmlformats.org/officeDocument/2006/relationships/hyperlink" Target="https://github.com/mei-desofs/desofs2026-wed_nap_5/blob/main/src/main/java/com/grupo/learningmore/security/JwtFilter.java" TargetMode="External"/><Relationship Id="rId1" Type="http://schemas.openxmlformats.org/officeDocument/2006/relationships/hyperlink" Target="https://github.com/mei-desofs/desofs2026-wed_nap_5/blob/main/src/main/java/com/grupo/learningmore/security/JwtFilter.java" TargetMode="External"/><Relationship Id="rId6" Type="http://schemas.openxmlformats.org/officeDocument/2006/relationships/hyperlink" Target="https://github.com/mei-desofs/desofs2026-wed_nap_5/blob/main/src/main/java/com/grupo/learningmore/security/JwtFilter.java" TargetMode="External"/><Relationship Id="rId11" Type="http://schemas.openxmlformats.org/officeDocument/2006/relationships/hyperlink" Target="https://github.com/mei-desofs/desofs2026-wed_nap_5/blob/main/src/main/java/com/grupo/learningmore/config/GlobalExceptionHandler.java" TargetMode="External"/><Relationship Id="rId5" Type="http://schemas.openxmlformats.org/officeDocument/2006/relationships/hyperlink" Target="https://github.com/mei-desofs/desofs2026-wed_nap_5/blob/main/src/main/java/com/grupo/learningmore/security/JwtFilter.java" TargetMode="External"/><Relationship Id="rId10" Type="http://schemas.openxmlformats.org/officeDocument/2006/relationships/hyperlink" Target="https://github.com/mei-desofs/desofs2026-wed_nap_5/blob/main/src/main/java/com/grupo/learningmore/config/GlobalExceptionHandler.java" TargetMode="External"/><Relationship Id="rId4" Type="http://schemas.openxmlformats.org/officeDocument/2006/relationships/hyperlink" Target="https://github.com/mei-desofs/desofs2026-wed_nap_5/blob/main/src/main/java/com/grupo/learningmore/security/JwtFilter.java" TargetMode="External"/><Relationship Id="rId9" Type="http://schemas.openxmlformats.org/officeDocument/2006/relationships/hyperlink" Target="https://github.com/mei-desofs/desofs2026-wed_nap_5/blob/main/src/main/java/com/grupo/learningmore/config/GlobalExceptionHandler.ja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zoomScale="75" zoomScaleNormal="75" workbookViewId="0">
      <selection activeCell="X15" sqref="X15"/>
    </sheetView>
  </sheetViews>
  <sheetFormatPr defaultColWidth="8.5703125" defaultRowHeight="14.45"/>
  <cols>
    <col min="1" max="1" width="34" customWidth="1"/>
    <col min="2" max="13" width="11" customWidth="1"/>
  </cols>
  <sheetData>
    <row r="1" spans="1:16" ht="36" customHeight="1">
      <c r="A1" s="41" t="s">
        <v>0</v>
      </c>
      <c r="B1" s="41"/>
      <c r="C1" s="41"/>
      <c r="D1" s="41"/>
      <c r="E1" s="41"/>
      <c r="F1" s="41"/>
      <c r="G1" s="41"/>
      <c r="H1" s="41"/>
      <c r="I1" s="41"/>
      <c r="J1" s="41"/>
      <c r="K1" s="41"/>
      <c r="L1" s="41"/>
      <c r="M1" s="41"/>
      <c r="N1" s="41"/>
      <c r="O1" s="41"/>
      <c r="P1" s="41"/>
    </row>
    <row r="2" spans="1:16" ht="19.899999999999999" customHeight="1">
      <c r="A2" s="42"/>
      <c r="B2" s="42"/>
      <c r="C2" s="42"/>
      <c r="D2" s="42"/>
      <c r="E2" s="42"/>
      <c r="F2" s="42"/>
      <c r="G2" s="42"/>
      <c r="H2" s="42"/>
      <c r="I2" s="42"/>
      <c r="J2" s="42"/>
      <c r="K2" s="42"/>
      <c r="L2" s="42"/>
      <c r="M2" s="42"/>
      <c r="N2" s="42"/>
      <c r="O2" s="42"/>
      <c r="P2" s="42"/>
    </row>
    <row r="3" spans="1:16" ht="18" customHeight="1">
      <c r="A3" s="43"/>
      <c r="B3" s="43"/>
      <c r="C3" s="1"/>
      <c r="E3" s="1"/>
      <c r="G3" s="1"/>
      <c r="I3" s="1"/>
      <c r="K3" s="1"/>
      <c r="M3" s="1"/>
      <c r="O3" s="1"/>
    </row>
    <row r="5" spans="1:16" ht="31.9" customHeight="1">
      <c r="A5" s="2" t="s">
        <v>1</v>
      </c>
      <c r="B5" s="2" t="s">
        <v>2</v>
      </c>
      <c r="C5" s="2" t="s">
        <v>3</v>
      </c>
      <c r="D5" s="2" t="s">
        <v>4</v>
      </c>
      <c r="E5" s="2" t="s">
        <v>5</v>
      </c>
      <c r="F5" s="2" t="s">
        <v>6</v>
      </c>
      <c r="G5" s="2" t="s">
        <v>7</v>
      </c>
      <c r="H5" s="2" t="s">
        <v>8</v>
      </c>
      <c r="I5" s="2" t="s">
        <v>9</v>
      </c>
      <c r="J5" s="2" t="s">
        <v>10</v>
      </c>
      <c r="K5" s="2" t="s">
        <v>11</v>
      </c>
      <c r="L5" s="2" t="s">
        <v>12</v>
      </c>
      <c r="M5" s="2" t="s">
        <v>13</v>
      </c>
    </row>
    <row r="6" spans="1:16" ht="18" customHeight="1">
      <c r="A6" s="3" t="s">
        <v>14</v>
      </c>
      <c r="B6" s="4">
        <v>30</v>
      </c>
      <c r="C6" s="4">
        <v>8</v>
      </c>
      <c r="D6" s="4">
        <f>COUNTIFS('V1 - Encoding and Sanitization'!$F$2:$F$36,"Compliant",'V1 - Encoding and Sanitization'!$E$2:$E$36,1)</f>
        <v>6</v>
      </c>
      <c r="E6" s="5">
        <f t="shared" ref="E6:E20" si="0">IF(C6=0,"",D6/C6)</f>
        <v>0.75</v>
      </c>
      <c r="F6" s="4">
        <v>19</v>
      </c>
      <c r="G6" s="4">
        <f>COUNTIFS('V1 - Encoding and Sanitization'!$F$2:$F$36,"Compliant",'V1 - Encoding and Sanitization'!$E$2:$E$36,2)</f>
        <v>9</v>
      </c>
      <c r="H6" s="5">
        <f t="shared" ref="H6:H22" si="1">IF(F6=0,"",G6/F6)</f>
        <v>0.47368421052631576</v>
      </c>
      <c r="I6" s="4">
        <v>3</v>
      </c>
      <c r="J6" s="4">
        <f>COUNTIFS('V1 - Encoding and Sanitization'!$F$2:$F$36,"Compliant",'V1 - Encoding and Sanitization'!$E$2:$E$36,3)</f>
        <v>0</v>
      </c>
      <c r="K6" s="5">
        <f t="shared" ref="K6:K13" si="2">IF(I6=0,"",J6/I6)</f>
        <v>0</v>
      </c>
      <c r="L6" s="4">
        <f>COUNTIF('V1 - Encoding and Sanitization'!$F$2:$F$36,"Compliant")</f>
        <v>15</v>
      </c>
      <c r="M6" s="5">
        <f t="shared" ref="M6:M22" si="3">IF(B6=0,"",L6/B6)</f>
        <v>0.5</v>
      </c>
    </row>
    <row r="7" spans="1:16" ht="18" customHeight="1">
      <c r="A7" s="6" t="s">
        <v>15</v>
      </c>
      <c r="B7" s="7">
        <v>13</v>
      </c>
      <c r="C7" s="7">
        <v>4</v>
      </c>
      <c r="D7" s="7">
        <f>COUNTIFS('V2 - Validation and Business Lo'!$F$2:$F$18,"Compliant",'V2 - Validation and Business Lo'!$E$2:$E$18,1)</f>
        <v>4</v>
      </c>
      <c r="E7" s="8">
        <f t="shared" si="0"/>
        <v>1</v>
      </c>
      <c r="F7" s="7">
        <v>7</v>
      </c>
      <c r="G7" s="7">
        <f>COUNTIFS('V2 - Validation and Business Lo'!$F$2:$F$18,"Compliant",'V2 - Validation and Business Lo'!$E$2:$E$18,2)</f>
        <v>6</v>
      </c>
      <c r="H7" s="8">
        <f t="shared" si="1"/>
        <v>0.8571428571428571</v>
      </c>
      <c r="I7" s="7">
        <v>2</v>
      </c>
      <c r="J7" s="7">
        <f>COUNTIFS('V2 - Validation and Business Lo'!$F$2:$F$18,"Compliant",'V2 - Validation and Business Lo'!$E$2:$E$18,3)</f>
        <v>0</v>
      </c>
      <c r="K7" s="8">
        <f t="shared" si="2"/>
        <v>0</v>
      </c>
      <c r="L7" s="7">
        <f>COUNTIF('V2 - Validation and Business Lo'!$F$2:$F$18,"Compliant")</f>
        <v>10</v>
      </c>
      <c r="M7" s="8">
        <f t="shared" si="3"/>
        <v>0.76923076923076927</v>
      </c>
    </row>
    <row r="8" spans="1:16" ht="18" customHeight="1">
      <c r="A8" s="3" t="s">
        <v>16</v>
      </c>
      <c r="B8" s="4">
        <v>31</v>
      </c>
      <c r="C8" s="4">
        <v>8</v>
      </c>
      <c r="D8" s="4">
        <f>COUNTIFS('V3 - Web Frontend Security'!$F$2:$F$39,"Compliant",'V3 - Web Frontend Security'!$E$2:$E$39,1)</f>
        <v>0</v>
      </c>
      <c r="E8" s="5">
        <f t="shared" si="0"/>
        <v>0</v>
      </c>
      <c r="F8" s="4">
        <v>11</v>
      </c>
      <c r="G8" s="4">
        <f>COUNTIFS('V3 - Web Frontend Security'!$F$2:$F$39,"Compliant",'V3 - Web Frontend Security'!$E$2:$E$39,2)</f>
        <v>0</v>
      </c>
      <c r="H8" s="5">
        <f t="shared" si="1"/>
        <v>0</v>
      </c>
      <c r="I8" s="4">
        <v>12</v>
      </c>
      <c r="J8" s="4">
        <f>COUNTIFS('V3 - Web Frontend Security'!$F$2:$F$39,"Compliant",'V3 - Web Frontend Security'!$E$2:$E$39,3)</f>
        <v>1</v>
      </c>
      <c r="K8" s="5">
        <f t="shared" si="2"/>
        <v>8.3333333333333329E-2</v>
      </c>
      <c r="L8" s="4">
        <f>COUNTIF('V3 - Web Frontend Security'!$F$2:$F$39,"Compliant")</f>
        <v>1</v>
      </c>
      <c r="M8" s="5">
        <f t="shared" si="3"/>
        <v>3.2258064516129031E-2</v>
      </c>
    </row>
    <row r="9" spans="1:16" ht="18" customHeight="1">
      <c r="A9" s="6" t="s">
        <v>17</v>
      </c>
      <c r="B9" s="7">
        <v>16</v>
      </c>
      <c r="C9" s="7">
        <v>2</v>
      </c>
      <c r="D9" s="7">
        <f>COUNTIFS('V4 - API and Web Service'!$F$2:$F$21,"Compliant",'V4 - API and Web Service'!$E$2:$E$21,1)</f>
        <v>1</v>
      </c>
      <c r="E9" s="8">
        <f t="shared" si="0"/>
        <v>0.5</v>
      </c>
      <c r="F9" s="7">
        <v>8</v>
      </c>
      <c r="G9" s="7">
        <f>COUNTIFS('V4 - API and Web Service'!$F$2:$F$21,"Compliant",'V4 - API and Web Service'!$E$2:$E$21,2)</f>
        <v>0</v>
      </c>
      <c r="H9" s="8">
        <f t="shared" si="1"/>
        <v>0</v>
      </c>
      <c r="I9" s="7">
        <v>6</v>
      </c>
      <c r="J9" s="7">
        <f>COUNTIFS('V4 - API and Web Service'!$F$2:$F$21,"Compliant",'V4 - API and Web Service'!$E$2:$E$21,3)</f>
        <v>2</v>
      </c>
      <c r="K9" s="8">
        <f t="shared" si="2"/>
        <v>0.33333333333333331</v>
      </c>
      <c r="L9" s="7">
        <f>COUNTIF('V4 - API and Web Service'!$F$2:$F$21,"Compliant")</f>
        <v>3</v>
      </c>
      <c r="M9" s="8">
        <f t="shared" si="3"/>
        <v>0.1875</v>
      </c>
    </row>
    <row r="10" spans="1:16" ht="18" customHeight="1">
      <c r="A10" s="3" t="s">
        <v>18</v>
      </c>
      <c r="B10" s="4">
        <v>13</v>
      </c>
      <c r="C10" s="4">
        <v>4</v>
      </c>
      <c r="D10" s="4">
        <f>COUNTIFS('V5 - File Handling'!$F$2:$F$18,"Compliant",'V5 - File Handling'!$E$2:$E$18,1)</f>
        <v>3</v>
      </c>
      <c r="E10" s="5">
        <f t="shared" si="0"/>
        <v>0.75</v>
      </c>
      <c r="F10" s="4">
        <v>5</v>
      </c>
      <c r="G10" s="4">
        <f>COUNTIFS('V5 - File Handling'!$F$2:$F$18,"Compliant",'V5 - File Handling'!$E$2:$E$18,2)</f>
        <v>1</v>
      </c>
      <c r="H10" s="5">
        <f t="shared" si="1"/>
        <v>0.2</v>
      </c>
      <c r="I10" s="4">
        <v>4</v>
      </c>
      <c r="J10" s="4">
        <f>COUNTIFS('V5 - File Handling'!$F$2:$F$18,"Compliant",'V5 - File Handling'!$E$2:$E$18,3)</f>
        <v>0</v>
      </c>
      <c r="K10" s="5">
        <f t="shared" si="2"/>
        <v>0</v>
      </c>
      <c r="L10" s="4">
        <f>COUNTIF('V5 - File Handling'!$F$2:$F$18,"Compliant")</f>
        <v>4</v>
      </c>
      <c r="M10" s="5">
        <f t="shared" si="3"/>
        <v>0.30769230769230771</v>
      </c>
    </row>
    <row r="11" spans="1:16" ht="18" customHeight="1">
      <c r="A11" s="6" t="s">
        <v>19</v>
      </c>
      <c r="B11" s="7">
        <v>47</v>
      </c>
      <c r="C11" s="7">
        <v>13</v>
      </c>
      <c r="D11" s="7">
        <f>COUNTIFS('V6 - Authentication'!$F$2:$F$56,"Compliant",'V6 - Authentication'!$E$2:$E$56,1)</f>
        <v>7</v>
      </c>
      <c r="E11" s="8">
        <f t="shared" si="0"/>
        <v>0.53846153846153844</v>
      </c>
      <c r="F11" s="7">
        <v>22</v>
      </c>
      <c r="G11" s="7">
        <f>COUNTIFS('V6 - Authentication'!$F$2:$F$56,"Compliant",'V6 - Authentication'!$E$2:$E$56,2)</f>
        <v>4</v>
      </c>
      <c r="H11" s="8">
        <f t="shared" si="1"/>
        <v>0.18181818181818182</v>
      </c>
      <c r="I11" s="7">
        <v>12</v>
      </c>
      <c r="J11" s="7">
        <f>COUNTIFS('V6 - Authentication'!$F$2:$F$56,"Compliant",'V6 - Authentication'!$E$2:$E$56,3)</f>
        <v>2</v>
      </c>
      <c r="K11" s="8">
        <f t="shared" si="2"/>
        <v>0.16666666666666666</v>
      </c>
      <c r="L11" s="7">
        <f>COUNTIF('V6 - Authentication'!$F$2:$F$56,"Compliant")</f>
        <v>13</v>
      </c>
      <c r="M11" s="8">
        <f t="shared" si="3"/>
        <v>0.27659574468085107</v>
      </c>
    </row>
    <row r="12" spans="1:16" ht="18" customHeight="1">
      <c r="A12" s="3" t="s">
        <v>20</v>
      </c>
      <c r="B12" s="4">
        <v>19</v>
      </c>
      <c r="C12" s="4">
        <v>6</v>
      </c>
      <c r="D12" s="4">
        <f>COUNTIFS('V7 - Session Management'!$F$2:$F$26,"Compliant",'V7 - Session Management'!$E$2:$E$26,1)</f>
        <v>4</v>
      </c>
      <c r="E12" s="5">
        <f t="shared" si="0"/>
        <v>0.66666666666666663</v>
      </c>
      <c r="F12" s="4">
        <v>12</v>
      </c>
      <c r="G12" s="4">
        <f>COUNTIFS('V7 - Session Management'!$F$2:$F$26,"Compliant",'V7 - Session Management'!$E$2:$E$26,2)</f>
        <v>5</v>
      </c>
      <c r="H12" s="5">
        <f t="shared" si="1"/>
        <v>0.41666666666666669</v>
      </c>
      <c r="I12" s="4">
        <v>1</v>
      </c>
      <c r="J12" s="4">
        <f>COUNTIFS('V7 - Session Management'!$F$2:$F$26,"Compliant",'V7 - Session Management'!$E$2:$E$26,3)</f>
        <v>0</v>
      </c>
      <c r="K12" s="5">
        <f t="shared" si="2"/>
        <v>0</v>
      </c>
      <c r="L12" s="4">
        <f>COUNTIF('V7 - Session Management'!$F$2:$F$26,"Compliant")</f>
        <v>9</v>
      </c>
      <c r="M12" s="5">
        <f t="shared" si="3"/>
        <v>0.47368421052631576</v>
      </c>
    </row>
    <row r="13" spans="1:16" ht="18" customHeight="1">
      <c r="A13" s="6" t="s">
        <v>21</v>
      </c>
      <c r="B13" s="7">
        <v>13</v>
      </c>
      <c r="C13" s="7">
        <v>4</v>
      </c>
      <c r="D13" s="7">
        <f>COUNTIFS('V8 - Authorization'!$F$2:$F$18,"Compliant",'V8 - Authorization'!$E$2:$E$18,1)</f>
        <v>4</v>
      </c>
      <c r="E13" s="8">
        <f t="shared" si="0"/>
        <v>1</v>
      </c>
      <c r="F13" s="7">
        <v>3</v>
      </c>
      <c r="G13" s="7">
        <f>COUNTIFS('V8 - Authorization'!$F$2:$F$18,"Compliant",'V8 - Authorization'!$E$2:$E$18,2)</f>
        <v>1</v>
      </c>
      <c r="H13" s="8">
        <f t="shared" si="1"/>
        <v>0.33333333333333331</v>
      </c>
      <c r="I13" s="7">
        <v>6</v>
      </c>
      <c r="J13" s="7">
        <f>COUNTIFS('V8 - Authorization'!$F$2:$F$18,"Compliant",'V8 - Authorization'!$E$2:$E$18,3)</f>
        <v>3</v>
      </c>
      <c r="K13" s="8">
        <f t="shared" si="2"/>
        <v>0.5</v>
      </c>
      <c r="L13" s="7">
        <f>COUNTIF('V8 - Authorization'!$F$2:$F$18,"Compliant")</f>
        <v>8</v>
      </c>
      <c r="M13" s="8">
        <f t="shared" si="3"/>
        <v>0.61538461538461542</v>
      </c>
    </row>
    <row r="14" spans="1:16" ht="18" customHeight="1">
      <c r="A14" s="3" t="s">
        <v>22</v>
      </c>
      <c r="B14" s="4">
        <v>7</v>
      </c>
      <c r="C14" s="4">
        <v>4</v>
      </c>
      <c r="D14" s="4">
        <f>COUNTIFS('V9 - Self-contained Tokens'!$F$2:$F$10,"Compliant",'V9 - Self-contained Tokens'!$E$2:$E$10,1)</f>
        <v>4</v>
      </c>
      <c r="E14" s="5">
        <f t="shared" si="0"/>
        <v>1</v>
      </c>
      <c r="F14" s="4">
        <v>3</v>
      </c>
      <c r="G14" s="4">
        <f>COUNTIFS('V9 - Self-contained Tokens'!$F$2:$F$10,"Compliant",'V9 - Self-contained Tokens'!$E$2:$E$10,2)</f>
        <v>1</v>
      </c>
      <c r="H14" s="5">
        <f t="shared" si="1"/>
        <v>0.33333333333333331</v>
      </c>
      <c r="I14" s="4">
        <v>0</v>
      </c>
      <c r="J14" s="4" t="s">
        <v>23</v>
      </c>
      <c r="K14" s="4" t="s">
        <v>23</v>
      </c>
      <c r="L14" s="4">
        <f>COUNTIF('V9 - Self-contained Tokens'!$F$2:$F$10,"Compliant")</f>
        <v>5</v>
      </c>
      <c r="M14" s="5">
        <f t="shared" si="3"/>
        <v>0.7142857142857143</v>
      </c>
    </row>
    <row r="15" spans="1:16" ht="18" customHeight="1">
      <c r="A15" s="6" t="s">
        <v>24</v>
      </c>
      <c r="B15" s="7">
        <v>36</v>
      </c>
      <c r="C15" s="7">
        <v>5</v>
      </c>
      <c r="D15" s="7">
        <f>COUNTIFS('V10 - OAuth and OIDC'!$F$2:$F$44,"Compliant",'V10 - OAuth and OIDC'!$E$2:$E$44,1)</f>
        <v>0</v>
      </c>
      <c r="E15" s="8">
        <f t="shared" si="0"/>
        <v>0</v>
      </c>
      <c r="F15" s="7">
        <v>24</v>
      </c>
      <c r="G15" s="7">
        <f>COUNTIFS('V10 - OAuth and OIDC'!$F$2:$F$44,"Compliant",'V10 - OAuth and OIDC'!$E$2:$E$44,2)</f>
        <v>0</v>
      </c>
      <c r="H15" s="8">
        <f t="shared" si="1"/>
        <v>0</v>
      </c>
      <c r="I15" s="7">
        <v>7</v>
      </c>
      <c r="J15" s="7">
        <f>COUNTIFS('V10 - OAuth and OIDC'!$F$2:$F$44,"Compliant",'V10 - OAuth and OIDC'!$E$2:$E$44,3)</f>
        <v>0</v>
      </c>
      <c r="K15" s="8">
        <f t="shared" ref="K15:K22" si="4">IF(I15=0,"",J15/I15)</f>
        <v>0</v>
      </c>
      <c r="L15" s="7">
        <f>COUNTIF('V10 - OAuth and OIDC'!$F$2:$F$44,"Compliant")</f>
        <v>0</v>
      </c>
      <c r="M15" s="8">
        <f t="shared" si="3"/>
        <v>0</v>
      </c>
    </row>
    <row r="16" spans="1:16" ht="18" customHeight="1">
      <c r="A16" s="3" t="s">
        <v>25</v>
      </c>
      <c r="B16" s="4">
        <v>24</v>
      </c>
      <c r="C16" s="4">
        <v>3</v>
      </c>
      <c r="D16" s="4">
        <f>COUNTIFS('V11 - Cryptography'!$F$2:$F$32,"Compliant",'V11 - Cryptography'!$E$2:$E$32,1)</f>
        <v>3</v>
      </c>
      <c r="E16" s="5">
        <f t="shared" si="0"/>
        <v>1</v>
      </c>
      <c r="F16" s="4">
        <v>11</v>
      </c>
      <c r="G16" s="4">
        <f>COUNTIFS('V11 - Cryptography'!$F$2:$F$32,"Compliant",'V11 - Cryptography'!$E$2:$E$32,2)</f>
        <v>7</v>
      </c>
      <c r="H16" s="5">
        <f t="shared" si="1"/>
        <v>0.63636363636363635</v>
      </c>
      <c r="I16" s="4">
        <v>10</v>
      </c>
      <c r="J16" s="4">
        <f>COUNTIFS('V11 - Cryptography'!$F$2:$F$32,"Compliant",'V11 - Cryptography'!$E$2:$E$32,3)</f>
        <v>0</v>
      </c>
      <c r="K16" s="5">
        <f t="shared" si="4"/>
        <v>0</v>
      </c>
      <c r="L16" s="4">
        <f>COUNTIF('V11 - Cryptography'!$F$2:$F$32,"Compliant")</f>
        <v>10</v>
      </c>
      <c r="M16" s="5">
        <f t="shared" si="3"/>
        <v>0.41666666666666669</v>
      </c>
    </row>
    <row r="17" spans="1:13" ht="18" customHeight="1">
      <c r="A17" s="6" t="s">
        <v>26</v>
      </c>
      <c r="B17" s="7">
        <v>12</v>
      </c>
      <c r="C17" s="7">
        <v>3</v>
      </c>
      <c r="D17" s="7">
        <f>COUNTIFS('V12 - Secure Communication'!$F$2:$F$16,"Compliant",'V12 - Secure Communication'!$E$2:$E$16,1)</f>
        <v>1</v>
      </c>
      <c r="E17" s="8">
        <f t="shared" si="0"/>
        <v>0.33333333333333331</v>
      </c>
      <c r="F17" s="7">
        <v>6</v>
      </c>
      <c r="G17" s="7">
        <f>COUNTIFS('V12 - Secure Communication'!$F$2:$F$16,"Compliant",'V12 - Secure Communication'!$E$2:$E$16,2)</f>
        <v>0</v>
      </c>
      <c r="H17" s="8">
        <f t="shared" si="1"/>
        <v>0</v>
      </c>
      <c r="I17" s="7">
        <v>3</v>
      </c>
      <c r="J17" s="7">
        <f>COUNTIFS('V12 - Secure Communication'!$F$2:$F$16,"Compliant",'V12 - Secure Communication'!$E$2:$E$16,3)</f>
        <v>0</v>
      </c>
      <c r="K17" s="8">
        <f t="shared" si="4"/>
        <v>0</v>
      </c>
      <c r="L17" s="7">
        <f>COUNTIF('V12 - Secure Communication'!$F$2:$F$16,"Compliant")</f>
        <v>1</v>
      </c>
      <c r="M17" s="8">
        <f t="shared" si="3"/>
        <v>8.3333333333333329E-2</v>
      </c>
    </row>
    <row r="18" spans="1:13" ht="18" customHeight="1">
      <c r="A18" s="3" t="s">
        <v>27</v>
      </c>
      <c r="B18" s="4">
        <v>21</v>
      </c>
      <c r="C18" s="4">
        <v>1</v>
      </c>
      <c r="D18" s="4">
        <f>COUNTIFS('V13 - Configuration'!$F$2:$F$26,"Compliant",'V13 - Configuration'!$E$2:$E$26,1)</f>
        <v>1</v>
      </c>
      <c r="E18" s="5">
        <f t="shared" si="0"/>
        <v>1</v>
      </c>
      <c r="F18" s="4">
        <v>12</v>
      </c>
      <c r="G18" s="4">
        <f>COUNTIFS('V13 - Configuration'!$F$2:$F$26,"Compliant",'V13 - Configuration'!$E$2:$E$26,2)</f>
        <v>5</v>
      </c>
      <c r="H18" s="5">
        <f t="shared" si="1"/>
        <v>0.41666666666666669</v>
      </c>
      <c r="I18" s="4">
        <v>8</v>
      </c>
      <c r="J18" s="4">
        <f>COUNTIFS('V13 - Configuration'!$F$2:$F$26,"Compliant",'V13 - Configuration'!$E$2:$E$26,3)</f>
        <v>2</v>
      </c>
      <c r="K18" s="5">
        <f t="shared" si="4"/>
        <v>0.25</v>
      </c>
      <c r="L18" s="4">
        <f>COUNTIF('V13 - Configuration'!$F$2:$F$26,"Compliant")</f>
        <v>8</v>
      </c>
      <c r="M18" s="5">
        <f t="shared" si="3"/>
        <v>0.38095238095238093</v>
      </c>
    </row>
    <row r="19" spans="1:13" ht="18" customHeight="1">
      <c r="A19" s="6" t="s">
        <v>28</v>
      </c>
      <c r="B19" s="7">
        <v>13</v>
      </c>
      <c r="C19" s="7">
        <v>2</v>
      </c>
      <c r="D19" s="7">
        <f>COUNTIFS('V14 - Data Protection'!$F$2:$F$17,"Compliant",'V14 - Data Protection'!$E$2:$E$17,1)</f>
        <v>2</v>
      </c>
      <c r="E19" s="8">
        <f t="shared" si="0"/>
        <v>1</v>
      </c>
      <c r="F19" s="7">
        <v>7</v>
      </c>
      <c r="G19" s="7">
        <f>COUNTIFS('V14 - Data Protection'!$F$2:$F$17,"Compliant",'V14 - Data Protection'!$E$2:$E$17,2)</f>
        <v>6</v>
      </c>
      <c r="H19" s="8">
        <f t="shared" si="1"/>
        <v>0.8571428571428571</v>
      </c>
      <c r="I19" s="7">
        <v>4</v>
      </c>
      <c r="J19" s="7">
        <f>COUNTIFS('V14 - Data Protection'!$F$2:$F$17,"Compliant",'V14 - Data Protection'!$E$2:$E$17,3)</f>
        <v>0</v>
      </c>
      <c r="K19" s="8">
        <f t="shared" si="4"/>
        <v>0</v>
      </c>
      <c r="L19" s="7">
        <f>COUNTIF('V14 - Data Protection'!$F$2:$F$17,"Compliant")</f>
        <v>8</v>
      </c>
      <c r="M19" s="8">
        <f t="shared" si="3"/>
        <v>0.61538461538461542</v>
      </c>
    </row>
    <row r="20" spans="1:13" ht="18" customHeight="1">
      <c r="A20" s="3" t="s">
        <v>29</v>
      </c>
      <c r="B20" s="4">
        <v>21</v>
      </c>
      <c r="C20" s="4">
        <v>3</v>
      </c>
      <c r="D20" s="4">
        <f>COUNTIFS('V15 - Secure Coding and Archite'!$F$2:$F$26,"Compliant",'V15 - Secure Coding and Archite'!$E$2:$E$26,1)</f>
        <v>2</v>
      </c>
      <c r="E20" s="5">
        <f t="shared" si="0"/>
        <v>0.66666666666666663</v>
      </c>
      <c r="F20" s="4">
        <v>10</v>
      </c>
      <c r="G20" s="4">
        <f>COUNTIFS('V15 - Secure Coding and Archite'!$F$2:$F$26,"Compliant",'V15 - Secure Coding and Archite'!$E$2:$E$26,2)</f>
        <v>6</v>
      </c>
      <c r="H20" s="5">
        <f t="shared" si="1"/>
        <v>0.6</v>
      </c>
      <c r="I20" s="4">
        <v>8</v>
      </c>
      <c r="J20" s="4">
        <f>COUNTIFS('V15 - Secure Coding and Archite'!$F$2:$F$26,"Compliant",'V15 - Secure Coding and Archite'!$E$2:$E$26,3)</f>
        <v>3</v>
      </c>
      <c r="K20" s="5">
        <f t="shared" si="4"/>
        <v>0.375</v>
      </c>
      <c r="L20" s="4">
        <f>COUNTIF('V15 - Secure Coding and Archite'!$F$2:$F$26,"Compliant")</f>
        <v>11</v>
      </c>
      <c r="M20" s="5">
        <f t="shared" si="3"/>
        <v>0.52380952380952384</v>
      </c>
    </row>
    <row r="21" spans="1:13" ht="18" customHeight="1">
      <c r="A21" s="6" t="s">
        <v>30</v>
      </c>
      <c r="B21" s="7">
        <v>17</v>
      </c>
      <c r="C21" s="7">
        <v>0</v>
      </c>
      <c r="D21" s="7" t="s">
        <v>23</v>
      </c>
      <c r="E21" s="7" t="s">
        <v>23</v>
      </c>
      <c r="F21" s="7">
        <v>16</v>
      </c>
      <c r="G21" s="7">
        <f>COUNTIFS('V16 - Security Logging and Erro'!$F$2:$F$23,"Compliant",'V16 - Security Logging and Erro'!$E$2:$E$23,2)</f>
        <v>16</v>
      </c>
      <c r="H21" s="8">
        <f t="shared" si="1"/>
        <v>1</v>
      </c>
      <c r="I21" s="7">
        <v>1</v>
      </c>
      <c r="J21" s="7">
        <f>COUNTIFS('V16 - Security Logging and Erro'!$F$2:$F$23,"Compliant",'V16 - Security Logging and Erro'!$E$2:$E$23,3)</f>
        <v>0</v>
      </c>
      <c r="K21" s="8">
        <f t="shared" si="4"/>
        <v>0</v>
      </c>
      <c r="L21" s="7">
        <f>COUNTIF('V16 - Security Logging and Erro'!$F$2:$F$23,"Compliant")</f>
        <v>16</v>
      </c>
      <c r="M21" s="8">
        <f t="shared" si="3"/>
        <v>0.94117647058823528</v>
      </c>
    </row>
    <row r="22" spans="1:13" ht="18" customHeight="1">
      <c r="A22" s="3" t="s">
        <v>31</v>
      </c>
      <c r="B22" s="4">
        <v>12</v>
      </c>
      <c r="C22" s="4">
        <v>0</v>
      </c>
      <c r="D22" s="4" t="s">
        <v>23</v>
      </c>
      <c r="E22" s="4" t="s">
        <v>23</v>
      </c>
      <c r="F22" s="4">
        <v>7</v>
      </c>
      <c r="G22" s="4">
        <f>COUNTIFS('V17 - WebRTC'!$F$2:$F$16,"Compliant",'V17 - WebRTC'!$E$2:$E$16,2)</f>
        <v>0</v>
      </c>
      <c r="H22" s="5">
        <f t="shared" si="1"/>
        <v>0</v>
      </c>
      <c r="I22" s="4">
        <v>5</v>
      </c>
      <c r="J22" s="4">
        <f>COUNTIFS('V17 - WebRTC'!$F$2:$F$16,"Compliant",'V17 - WebRTC'!$E$2:$E$16,3)</f>
        <v>0</v>
      </c>
      <c r="K22" s="5">
        <f t="shared" si="4"/>
        <v>0</v>
      </c>
      <c r="L22" s="4">
        <f>COUNTIF('V17 - WebRTC'!$F$2:$F$16,"Compliant")</f>
        <v>0</v>
      </c>
      <c r="M22" s="5">
        <f t="shared" si="3"/>
        <v>0</v>
      </c>
    </row>
    <row r="23" spans="1:13" ht="22.15" customHeight="1">
      <c r="A23" s="9" t="s">
        <v>32</v>
      </c>
      <c r="B23" s="10">
        <f>SUM(B6:B22)</f>
        <v>345</v>
      </c>
      <c r="C23" s="10">
        <f>SUM(C6:C22)</f>
        <v>70</v>
      </c>
      <c r="D23" s="10">
        <f>SUM(D6:D22)</f>
        <v>42</v>
      </c>
      <c r="E23" s="11">
        <f>IFERROR(AVERAGE(E6:E22),"")</f>
        <v>0.68034188034188026</v>
      </c>
      <c r="F23" s="10">
        <f>SUM(F6:F22)</f>
        <v>183</v>
      </c>
      <c r="G23" s="10">
        <f>SUM(G6:G22)</f>
        <v>67</v>
      </c>
      <c r="H23" s="11">
        <f>IFERROR(AVERAGE(H6:H22),"")</f>
        <v>0.37095010252904986</v>
      </c>
      <c r="I23" s="10">
        <f>SUM(I6:I22)</f>
        <v>92</v>
      </c>
      <c r="J23" s="10">
        <f>SUM(J6:J22)</f>
        <v>13</v>
      </c>
      <c r="K23" s="11">
        <f>IFERROR(AVERAGE(K6:K22),"")</f>
        <v>0.10677083333333333</v>
      </c>
      <c r="L23" s="10">
        <f>SUM(L6:L22)</f>
        <v>122</v>
      </c>
      <c r="M23" s="11">
        <f>IFERROR(AVERAGE(M6:M22),"")</f>
        <v>0.40223261276773281</v>
      </c>
    </row>
  </sheetData>
  <mergeCells count="3">
    <mergeCell ref="A1:P1"/>
    <mergeCell ref="A2:P2"/>
    <mergeCell ref="A3:B3"/>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0555555555496" footer="0.51180555555555496"/>
  <pageSetup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zoomScale="75" zoomScaleNormal="75" workbookViewId="0">
      <pane ySplit="1" topLeftCell="B30" activePane="bottomLeft" state="frozen"/>
      <selection pane="bottomLeft" activeCell="D22" sqref="D22"/>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41</v>
      </c>
      <c r="B2" s="13" t="s">
        <v>42</v>
      </c>
      <c r="C2" s="13"/>
      <c r="D2" s="13"/>
      <c r="E2" s="13"/>
      <c r="F2" s="13"/>
      <c r="G2" s="13"/>
      <c r="H2" s="13"/>
    </row>
    <row r="3" spans="1:8" ht="30" customHeight="1">
      <c r="A3" s="14" t="s">
        <v>41</v>
      </c>
      <c r="B3" s="14" t="s">
        <v>42</v>
      </c>
      <c r="C3" s="15" t="s">
        <v>43</v>
      </c>
      <c r="D3" s="16" t="s">
        <v>44</v>
      </c>
      <c r="E3" s="17">
        <v>2</v>
      </c>
      <c r="F3" s="18" t="s">
        <v>45</v>
      </c>
      <c r="G3" s="16" t="s">
        <v>46</v>
      </c>
      <c r="H3" s="16"/>
    </row>
    <row r="4" spans="1:8" ht="30" customHeight="1">
      <c r="A4" s="19" t="s">
        <v>41</v>
      </c>
      <c r="B4" s="19" t="s">
        <v>42</v>
      </c>
      <c r="C4" s="20" t="s">
        <v>47</v>
      </c>
      <c r="D4" s="21" t="s">
        <v>48</v>
      </c>
      <c r="E4" s="17">
        <v>2</v>
      </c>
      <c r="F4" s="18" t="s">
        <v>45</v>
      </c>
      <c r="G4" s="21" t="s">
        <v>49</v>
      </c>
      <c r="H4" s="37" t="s">
        <v>50</v>
      </c>
    </row>
    <row r="5" spans="1:8" ht="18" customHeight="1">
      <c r="A5" s="13" t="s">
        <v>51</v>
      </c>
      <c r="B5" s="13" t="s">
        <v>52</v>
      </c>
      <c r="C5" s="13"/>
      <c r="D5" s="13"/>
      <c r="E5" s="13"/>
      <c r="F5" s="13"/>
      <c r="G5" s="13"/>
      <c r="H5" s="13"/>
    </row>
    <row r="6" spans="1:8" ht="30" customHeight="1">
      <c r="A6" s="14" t="s">
        <v>51</v>
      </c>
      <c r="B6" s="14" t="s">
        <v>52</v>
      </c>
      <c r="C6" s="15" t="s">
        <v>53</v>
      </c>
      <c r="D6" s="16" t="s">
        <v>54</v>
      </c>
      <c r="E6" s="22">
        <v>1</v>
      </c>
      <c r="F6" s="18" t="s">
        <v>45</v>
      </c>
      <c r="G6" s="16" t="s">
        <v>55</v>
      </c>
      <c r="H6" s="36" t="s">
        <v>50</v>
      </c>
    </row>
    <row r="7" spans="1:8" ht="30" customHeight="1">
      <c r="A7" s="19" t="s">
        <v>51</v>
      </c>
      <c r="B7" s="19" t="s">
        <v>52</v>
      </c>
      <c r="C7" s="20" t="s">
        <v>56</v>
      </c>
      <c r="D7" s="21" t="s">
        <v>57</v>
      </c>
      <c r="E7" s="22">
        <v>1</v>
      </c>
      <c r="F7" s="18" t="s">
        <v>58</v>
      </c>
      <c r="G7" s="21"/>
      <c r="H7" s="21"/>
    </row>
    <row r="8" spans="1:8" ht="30" customHeight="1">
      <c r="A8" s="14" t="s">
        <v>51</v>
      </c>
      <c r="B8" s="14" t="s">
        <v>52</v>
      </c>
      <c r="C8" s="15" t="s">
        <v>59</v>
      </c>
      <c r="D8" s="16" t="s">
        <v>60</v>
      </c>
      <c r="E8" s="22">
        <v>1</v>
      </c>
      <c r="F8" s="18" t="s">
        <v>45</v>
      </c>
      <c r="G8" s="16" t="s">
        <v>61</v>
      </c>
      <c r="H8" s="16" t="s">
        <v>62</v>
      </c>
    </row>
    <row r="9" spans="1:8" ht="30" customHeight="1">
      <c r="A9" s="19" t="s">
        <v>51</v>
      </c>
      <c r="B9" s="19" t="s">
        <v>52</v>
      </c>
      <c r="C9" s="20" t="s">
        <v>63</v>
      </c>
      <c r="D9" s="21" t="s">
        <v>64</v>
      </c>
      <c r="E9" s="22">
        <v>1</v>
      </c>
      <c r="F9" s="18" t="s">
        <v>45</v>
      </c>
      <c r="G9" s="21" t="s">
        <v>65</v>
      </c>
      <c r="H9" s="21" t="s">
        <v>66</v>
      </c>
    </row>
    <row r="10" spans="1:8" ht="30" customHeight="1">
      <c r="A10" s="14" t="s">
        <v>51</v>
      </c>
      <c r="B10" s="14" t="s">
        <v>52</v>
      </c>
      <c r="C10" s="15" t="s">
        <v>67</v>
      </c>
      <c r="D10" s="16" t="s">
        <v>68</v>
      </c>
      <c r="E10" s="22">
        <v>1</v>
      </c>
      <c r="F10" s="18" t="s">
        <v>45</v>
      </c>
      <c r="G10" s="16" t="s">
        <v>69</v>
      </c>
      <c r="H10" s="16" t="s">
        <v>70</v>
      </c>
    </row>
    <row r="11" spans="1:8" ht="30" customHeight="1">
      <c r="A11" s="19" t="s">
        <v>51</v>
      </c>
      <c r="B11" s="19" t="s">
        <v>52</v>
      </c>
      <c r="C11" s="20" t="s">
        <v>71</v>
      </c>
      <c r="D11" s="21" t="s">
        <v>72</v>
      </c>
      <c r="E11" s="17">
        <v>2</v>
      </c>
      <c r="F11" s="18" t="s">
        <v>73</v>
      </c>
      <c r="G11" s="21" t="s">
        <v>74</v>
      </c>
      <c r="H11" s="21"/>
    </row>
    <row r="12" spans="1:8" ht="30" customHeight="1">
      <c r="A12" s="14" t="s">
        <v>51</v>
      </c>
      <c r="B12" s="14" t="s">
        <v>52</v>
      </c>
      <c r="C12" s="15" t="s">
        <v>75</v>
      </c>
      <c r="D12" s="16" t="s">
        <v>76</v>
      </c>
      <c r="E12" s="17">
        <v>2</v>
      </c>
      <c r="F12" s="18" t="s">
        <v>73</v>
      </c>
      <c r="G12" s="16" t="s">
        <v>77</v>
      </c>
      <c r="H12" s="16"/>
    </row>
    <row r="13" spans="1:8" ht="30" customHeight="1">
      <c r="A13" s="19" t="s">
        <v>51</v>
      </c>
      <c r="B13" s="19" t="s">
        <v>52</v>
      </c>
      <c r="C13" s="20" t="s">
        <v>78</v>
      </c>
      <c r="D13" s="21" t="s">
        <v>79</v>
      </c>
      <c r="E13" s="17">
        <v>2</v>
      </c>
      <c r="F13" s="18" t="s">
        <v>73</v>
      </c>
      <c r="G13" s="21" t="s">
        <v>80</v>
      </c>
      <c r="H13" s="21"/>
    </row>
    <row r="14" spans="1:8" ht="30" customHeight="1">
      <c r="A14" s="14" t="s">
        <v>51</v>
      </c>
      <c r="B14" s="14" t="s">
        <v>52</v>
      </c>
      <c r="C14" s="15" t="s">
        <v>81</v>
      </c>
      <c r="D14" s="16" t="s">
        <v>82</v>
      </c>
      <c r="E14" s="17">
        <v>2</v>
      </c>
      <c r="F14" s="18" t="s">
        <v>45</v>
      </c>
      <c r="G14" s="16" t="s">
        <v>83</v>
      </c>
      <c r="H14" s="36" t="s">
        <v>84</v>
      </c>
    </row>
    <row r="15" spans="1:8" ht="30" customHeight="1">
      <c r="A15" s="19" t="s">
        <v>51</v>
      </c>
      <c r="B15" s="19" t="s">
        <v>52</v>
      </c>
      <c r="C15" s="20" t="s">
        <v>85</v>
      </c>
      <c r="D15" s="21" t="s">
        <v>86</v>
      </c>
      <c r="E15" s="23">
        <v>3</v>
      </c>
      <c r="F15" s="18" t="s">
        <v>73</v>
      </c>
      <c r="G15" s="21" t="s">
        <v>87</v>
      </c>
      <c r="H15" s="21"/>
    </row>
    <row r="16" spans="1:8" ht="18" customHeight="1">
      <c r="A16" s="13" t="s">
        <v>88</v>
      </c>
      <c r="B16" s="13" t="s">
        <v>89</v>
      </c>
      <c r="C16" s="13"/>
      <c r="D16" s="13"/>
      <c r="E16" s="13"/>
      <c r="F16" s="13"/>
      <c r="G16" s="13"/>
      <c r="H16" s="13"/>
    </row>
    <row r="17" spans="1:8" ht="30" customHeight="1">
      <c r="A17" s="14" t="s">
        <v>88</v>
      </c>
      <c r="B17" s="14" t="s">
        <v>89</v>
      </c>
      <c r="C17" s="15" t="s">
        <v>90</v>
      </c>
      <c r="D17" s="16" t="s">
        <v>91</v>
      </c>
      <c r="E17" s="22">
        <v>1</v>
      </c>
      <c r="F17" s="18" t="s">
        <v>45</v>
      </c>
      <c r="G17" s="16" t="s">
        <v>92</v>
      </c>
      <c r="H17" s="36" t="s">
        <v>50</v>
      </c>
    </row>
    <row r="18" spans="1:8" ht="30" customHeight="1">
      <c r="A18" s="19" t="s">
        <v>88</v>
      </c>
      <c r="B18" s="19" t="s">
        <v>89</v>
      </c>
      <c r="C18" s="20" t="s">
        <v>93</v>
      </c>
      <c r="D18" s="21" t="s">
        <v>94</v>
      </c>
      <c r="E18" s="22">
        <v>1</v>
      </c>
      <c r="F18" s="18" t="s">
        <v>45</v>
      </c>
      <c r="G18" s="21" t="s">
        <v>95</v>
      </c>
      <c r="H18" s="21" t="s">
        <v>96</v>
      </c>
    </row>
    <row r="19" spans="1:8" ht="30" customHeight="1">
      <c r="A19" s="14" t="s">
        <v>88</v>
      </c>
      <c r="B19" s="14" t="s">
        <v>89</v>
      </c>
      <c r="C19" s="15" t="s">
        <v>97</v>
      </c>
      <c r="D19" s="16" t="s">
        <v>98</v>
      </c>
      <c r="E19" s="17">
        <v>2</v>
      </c>
      <c r="F19" s="18" t="s">
        <v>45</v>
      </c>
      <c r="G19" s="16" t="s">
        <v>99</v>
      </c>
      <c r="H19" s="35" t="s">
        <v>100</v>
      </c>
    </row>
    <row r="20" spans="1:8" ht="30" customHeight="1">
      <c r="A20" s="19" t="s">
        <v>88</v>
      </c>
      <c r="B20" s="19" t="s">
        <v>89</v>
      </c>
      <c r="C20" s="20" t="s">
        <v>101</v>
      </c>
      <c r="D20" s="21" t="s">
        <v>102</v>
      </c>
      <c r="E20" s="17">
        <v>2</v>
      </c>
      <c r="F20" s="18" t="s">
        <v>73</v>
      </c>
      <c r="G20" s="21" t="s">
        <v>103</v>
      </c>
      <c r="H20" s="21"/>
    </row>
    <row r="21" spans="1:8" ht="30" customHeight="1">
      <c r="A21" s="14" t="s">
        <v>88</v>
      </c>
      <c r="B21" s="14" t="s">
        <v>89</v>
      </c>
      <c r="C21" s="15" t="s">
        <v>104</v>
      </c>
      <c r="D21" s="16" t="s">
        <v>105</v>
      </c>
      <c r="E21" s="17">
        <v>2</v>
      </c>
      <c r="F21" s="18" t="s">
        <v>73</v>
      </c>
      <c r="G21" s="16" t="s">
        <v>106</v>
      </c>
      <c r="H21" s="16"/>
    </row>
    <row r="22" spans="1:8" ht="30" customHeight="1">
      <c r="A22" s="19" t="s">
        <v>88</v>
      </c>
      <c r="B22" s="19" t="s">
        <v>89</v>
      </c>
      <c r="C22" s="20" t="s">
        <v>107</v>
      </c>
      <c r="D22" s="21" t="s">
        <v>108</v>
      </c>
      <c r="E22" s="17">
        <v>2</v>
      </c>
      <c r="F22" s="18" t="s">
        <v>73</v>
      </c>
      <c r="G22" s="21" t="s">
        <v>109</v>
      </c>
      <c r="H22" s="21"/>
    </row>
    <row r="23" spans="1:8" ht="30" customHeight="1">
      <c r="A23" s="14" t="s">
        <v>88</v>
      </c>
      <c r="B23" s="14" t="s">
        <v>89</v>
      </c>
      <c r="C23" s="15" t="s">
        <v>110</v>
      </c>
      <c r="D23" s="16" t="s">
        <v>111</v>
      </c>
      <c r="E23" s="17">
        <v>2</v>
      </c>
      <c r="F23" s="18" t="s">
        <v>73</v>
      </c>
      <c r="G23" s="16" t="s">
        <v>112</v>
      </c>
      <c r="H23" s="16"/>
    </row>
    <row r="24" spans="1:8" ht="30" customHeight="1">
      <c r="A24" s="19" t="s">
        <v>88</v>
      </c>
      <c r="B24" s="19" t="s">
        <v>89</v>
      </c>
      <c r="C24" s="20" t="s">
        <v>113</v>
      </c>
      <c r="D24" s="21" t="s">
        <v>114</v>
      </c>
      <c r="E24" s="17">
        <v>2</v>
      </c>
      <c r="F24" s="18" t="s">
        <v>73</v>
      </c>
      <c r="G24" s="21" t="s">
        <v>115</v>
      </c>
      <c r="H24" s="21"/>
    </row>
    <row r="25" spans="1:8" ht="30" customHeight="1">
      <c r="A25" s="14" t="s">
        <v>88</v>
      </c>
      <c r="B25" s="14" t="s">
        <v>89</v>
      </c>
      <c r="C25" s="15" t="s">
        <v>116</v>
      </c>
      <c r="D25" s="16" t="s">
        <v>117</v>
      </c>
      <c r="E25" s="17">
        <v>2</v>
      </c>
      <c r="F25" s="18" t="s">
        <v>73</v>
      </c>
      <c r="G25" s="16" t="s">
        <v>118</v>
      </c>
      <c r="H25" s="16"/>
    </row>
    <row r="26" spans="1:8" ht="30" customHeight="1">
      <c r="A26" s="19" t="s">
        <v>88</v>
      </c>
      <c r="B26" s="19" t="s">
        <v>89</v>
      </c>
      <c r="C26" s="20" t="s">
        <v>119</v>
      </c>
      <c r="D26" s="21" t="s">
        <v>120</v>
      </c>
      <c r="E26" s="17">
        <v>2</v>
      </c>
      <c r="F26" s="18" t="s">
        <v>45</v>
      </c>
      <c r="G26" s="21" t="s">
        <v>121</v>
      </c>
      <c r="H26" s="21"/>
    </row>
    <row r="27" spans="1:8" ht="30" customHeight="1">
      <c r="A27" s="14" t="s">
        <v>88</v>
      </c>
      <c r="B27" s="14" t="s">
        <v>89</v>
      </c>
      <c r="C27" s="15" t="s">
        <v>122</v>
      </c>
      <c r="D27" s="16" t="s">
        <v>123</v>
      </c>
      <c r="E27" s="17">
        <v>2</v>
      </c>
      <c r="F27" s="18" t="s">
        <v>73</v>
      </c>
      <c r="G27" s="16" t="s">
        <v>124</v>
      </c>
      <c r="H27" s="16"/>
    </row>
    <row r="28" spans="1:8" ht="30" customHeight="1">
      <c r="A28" s="19" t="s">
        <v>88</v>
      </c>
      <c r="B28" s="19" t="s">
        <v>89</v>
      </c>
      <c r="C28" s="20" t="s">
        <v>125</v>
      </c>
      <c r="D28" s="21" t="s">
        <v>126</v>
      </c>
      <c r="E28" s="23">
        <v>3</v>
      </c>
      <c r="F28" s="18" t="s">
        <v>73</v>
      </c>
      <c r="G28" s="21" t="s">
        <v>127</v>
      </c>
      <c r="H28" s="21"/>
    </row>
    <row r="29" spans="1:8" ht="18" customHeight="1">
      <c r="A29" s="13" t="s">
        <v>128</v>
      </c>
      <c r="B29" s="13" t="s">
        <v>129</v>
      </c>
      <c r="C29" s="13"/>
      <c r="D29" s="13"/>
      <c r="E29" s="13"/>
      <c r="F29" s="13"/>
      <c r="G29" s="13"/>
      <c r="H29" s="13"/>
    </row>
    <row r="30" spans="1:8" ht="30" customHeight="1">
      <c r="A30" s="14" t="s">
        <v>128</v>
      </c>
      <c r="B30" s="14" t="s">
        <v>129</v>
      </c>
      <c r="C30" s="15" t="s">
        <v>130</v>
      </c>
      <c r="D30" s="16" t="s">
        <v>131</v>
      </c>
      <c r="E30" s="17">
        <v>2</v>
      </c>
      <c r="F30" s="18" t="s">
        <v>45</v>
      </c>
      <c r="G30" s="16" t="s">
        <v>132</v>
      </c>
      <c r="H30" s="16" t="s">
        <v>133</v>
      </c>
    </row>
    <row r="31" spans="1:8" ht="30" customHeight="1">
      <c r="A31" s="19" t="s">
        <v>128</v>
      </c>
      <c r="B31" s="19" t="s">
        <v>129</v>
      </c>
      <c r="C31" s="20" t="s">
        <v>134</v>
      </c>
      <c r="D31" s="21" t="s">
        <v>135</v>
      </c>
      <c r="E31" s="17">
        <v>2</v>
      </c>
      <c r="F31" s="18" t="s">
        <v>45</v>
      </c>
      <c r="G31" s="21" t="s">
        <v>136</v>
      </c>
      <c r="H31" s="21" t="s">
        <v>137</v>
      </c>
    </row>
    <row r="32" spans="1:8" ht="30" customHeight="1">
      <c r="A32" s="14" t="s">
        <v>128</v>
      </c>
      <c r="B32" s="14" t="s">
        <v>129</v>
      </c>
      <c r="C32" s="15" t="s">
        <v>138</v>
      </c>
      <c r="D32" s="16" t="s">
        <v>139</v>
      </c>
      <c r="E32" s="17">
        <v>2</v>
      </c>
      <c r="F32" s="18" t="s">
        <v>45</v>
      </c>
      <c r="G32" s="16" t="s">
        <v>140</v>
      </c>
      <c r="H32" s="16" t="s">
        <v>141</v>
      </c>
    </row>
    <row r="33" spans="1:8" ht="18" customHeight="1">
      <c r="A33" s="13" t="s">
        <v>142</v>
      </c>
      <c r="B33" s="13" t="s">
        <v>143</v>
      </c>
      <c r="C33" s="13"/>
      <c r="D33" s="13"/>
      <c r="E33" s="13"/>
      <c r="F33" s="13"/>
      <c r="G33" s="13"/>
      <c r="H33" s="13"/>
    </row>
    <row r="34" spans="1:8" ht="30" customHeight="1">
      <c r="A34" s="14" t="s">
        <v>142</v>
      </c>
      <c r="B34" s="14" t="s">
        <v>143</v>
      </c>
      <c r="C34" s="15" t="s">
        <v>144</v>
      </c>
      <c r="D34" s="16" t="s">
        <v>145</v>
      </c>
      <c r="E34" s="22">
        <v>1</v>
      </c>
      <c r="F34" s="18" t="s">
        <v>73</v>
      </c>
      <c r="G34" s="16" t="s">
        <v>146</v>
      </c>
      <c r="H34" s="16" t="s">
        <v>147</v>
      </c>
    </row>
    <row r="35" spans="1:8" ht="30" customHeight="1">
      <c r="A35" s="19" t="s">
        <v>142</v>
      </c>
      <c r="B35" s="19" t="s">
        <v>143</v>
      </c>
      <c r="C35" s="20" t="s">
        <v>148</v>
      </c>
      <c r="D35" s="21" t="s">
        <v>149</v>
      </c>
      <c r="E35" s="17">
        <v>2</v>
      </c>
      <c r="F35" s="18" t="s">
        <v>45</v>
      </c>
      <c r="G35" s="21" t="s">
        <v>150</v>
      </c>
      <c r="H35" s="37" t="s">
        <v>151</v>
      </c>
    </row>
    <row r="36" spans="1:8" ht="30" customHeight="1">
      <c r="A36" s="14" t="s">
        <v>142</v>
      </c>
      <c r="B36" s="14" t="s">
        <v>143</v>
      </c>
      <c r="C36" s="15" t="s">
        <v>152</v>
      </c>
      <c r="D36" s="16" t="s">
        <v>153</v>
      </c>
      <c r="E36" s="23">
        <v>3</v>
      </c>
      <c r="F36" s="18" t="s">
        <v>73</v>
      </c>
      <c r="G36" s="16" t="s">
        <v>154</v>
      </c>
      <c r="H36" s="16"/>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100-000000000000}">
      <formula1>"Not Started,In Progress,Compliant,Not Applicable"</formula1>
      <formula2>0</formula2>
    </dataValidation>
  </dataValidations>
  <hyperlinks>
    <hyperlink ref="H4" r:id="rId1" xr:uid="{E9BD6170-F515-473D-80E6-63F5F6694DE1}"/>
    <hyperlink ref="H6" r:id="rId2" xr:uid="{2584D3A8-F9A7-4988-B815-4330664A2B9A}"/>
    <hyperlink ref="H14" r:id="rId3" xr:uid="{210AC8E5-256C-42C7-8B14-744ACF65C8F0}"/>
    <hyperlink ref="H17" r:id="rId4" xr:uid="{1A603693-D183-4C7E-90BF-97F8686EE175}"/>
    <hyperlink ref="H35" r:id="rId5" xr:uid="{F3F42EEF-AEE0-4AA7-B301-AAAAC20A25AB}"/>
  </hyperlinks>
  <pageMargins left="0.75" right="0.75" top="1" bottom="1"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zoomScale="75" zoomScaleNormal="75" workbookViewId="0">
      <pane ySplit="1" topLeftCell="A12" activePane="bottomLeft" state="frozen"/>
      <selection pane="bottomLeft" activeCell="F20" sqref="F20"/>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155</v>
      </c>
      <c r="B2" s="13" t="s">
        <v>156</v>
      </c>
      <c r="C2" s="13"/>
      <c r="D2" s="13"/>
      <c r="E2" s="13"/>
      <c r="F2" s="13"/>
      <c r="G2" s="13"/>
      <c r="H2" s="13"/>
    </row>
    <row r="3" spans="1:8" ht="30" customHeight="1">
      <c r="A3" s="14" t="s">
        <v>155</v>
      </c>
      <c r="B3" s="14" t="s">
        <v>156</v>
      </c>
      <c r="C3" s="15" t="s">
        <v>157</v>
      </c>
      <c r="D3" s="16" t="s">
        <v>158</v>
      </c>
      <c r="E3" s="22">
        <v>1</v>
      </c>
      <c r="F3" s="18" t="s">
        <v>45</v>
      </c>
      <c r="G3" s="26" t="s">
        <v>159</v>
      </c>
      <c r="H3" s="30" t="s">
        <v>160</v>
      </c>
    </row>
    <row r="4" spans="1:8" ht="30" customHeight="1">
      <c r="A4" s="19" t="s">
        <v>155</v>
      </c>
      <c r="B4" s="19" t="s">
        <v>156</v>
      </c>
      <c r="C4" s="20" t="s">
        <v>161</v>
      </c>
      <c r="D4" s="21" t="s">
        <v>162</v>
      </c>
      <c r="E4" s="17">
        <v>2</v>
      </c>
      <c r="F4" s="18" t="s">
        <v>45</v>
      </c>
      <c r="G4" s="29" t="s">
        <v>163</v>
      </c>
      <c r="H4" s="31" t="s">
        <v>164</v>
      </c>
    </row>
    <row r="5" spans="1:8" ht="30" customHeight="1">
      <c r="A5" s="14" t="s">
        <v>155</v>
      </c>
      <c r="B5" s="14" t="s">
        <v>156</v>
      </c>
      <c r="C5" s="15" t="s">
        <v>165</v>
      </c>
      <c r="D5" s="16" t="s">
        <v>166</v>
      </c>
      <c r="E5" s="17">
        <v>2</v>
      </c>
      <c r="F5" s="18" t="s">
        <v>45</v>
      </c>
      <c r="G5" s="28" t="s">
        <v>167</v>
      </c>
      <c r="H5" s="32" t="s">
        <v>168</v>
      </c>
    </row>
    <row r="6" spans="1:8" ht="18" customHeight="1">
      <c r="A6" s="13" t="s">
        <v>169</v>
      </c>
      <c r="B6" s="13" t="s">
        <v>170</v>
      </c>
      <c r="C6" s="13"/>
      <c r="D6" s="13"/>
      <c r="E6" s="13"/>
      <c r="F6" s="13"/>
      <c r="G6" s="33" t="s">
        <v>171</v>
      </c>
      <c r="H6" s="34" t="s">
        <v>171</v>
      </c>
    </row>
    <row r="7" spans="1:8" ht="30" customHeight="1">
      <c r="A7" s="14" t="s">
        <v>169</v>
      </c>
      <c r="B7" s="14" t="s">
        <v>170</v>
      </c>
      <c r="C7" s="15" t="s">
        <v>172</v>
      </c>
      <c r="D7" s="16" t="s">
        <v>173</v>
      </c>
      <c r="E7" s="22">
        <v>1</v>
      </c>
      <c r="F7" s="18" t="s">
        <v>45</v>
      </c>
      <c r="G7" s="28" t="s">
        <v>174</v>
      </c>
      <c r="H7" s="39" t="s">
        <v>175</v>
      </c>
    </row>
    <row r="8" spans="1:8" ht="30" customHeight="1">
      <c r="A8" s="19" t="s">
        <v>169</v>
      </c>
      <c r="B8" s="19" t="s">
        <v>170</v>
      </c>
      <c r="C8" s="20" t="s">
        <v>176</v>
      </c>
      <c r="D8" s="21" t="s">
        <v>177</v>
      </c>
      <c r="E8" s="22">
        <v>1</v>
      </c>
      <c r="F8" s="18" t="s">
        <v>45</v>
      </c>
      <c r="G8" s="29" t="s">
        <v>178</v>
      </c>
      <c r="H8" s="40" t="s">
        <v>179</v>
      </c>
    </row>
    <row r="9" spans="1:8" ht="30" customHeight="1">
      <c r="A9" s="14" t="s">
        <v>169</v>
      </c>
      <c r="B9" s="14" t="s">
        <v>170</v>
      </c>
      <c r="C9" s="15" t="s">
        <v>180</v>
      </c>
      <c r="D9" s="16" t="s">
        <v>181</v>
      </c>
      <c r="E9" s="17">
        <v>2</v>
      </c>
      <c r="F9" s="18" t="s">
        <v>45</v>
      </c>
      <c r="G9" s="28" t="s">
        <v>182</v>
      </c>
      <c r="H9" s="39" t="s">
        <v>175</v>
      </c>
    </row>
    <row r="10" spans="1:8" ht="18" customHeight="1">
      <c r="A10" s="13" t="s">
        <v>183</v>
      </c>
      <c r="B10" s="13" t="s">
        <v>184</v>
      </c>
      <c r="C10" s="13"/>
      <c r="D10" s="13"/>
      <c r="E10" s="13"/>
      <c r="F10" s="13"/>
      <c r="G10" s="33" t="s">
        <v>171</v>
      </c>
      <c r="H10" s="34" t="s">
        <v>171</v>
      </c>
    </row>
    <row r="11" spans="1:8" ht="30" customHeight="1">
      <c r="A11" s="14" t="s">
        <v>183</v>
      </c>
      <c r="B11" s="14" t="s">
        <v>184</v>
      </c>
      <c r="C11" s="15" t="s">
        <v>185</v>
      </c>
      <c r="D11" s="16" t="s">
        <v>186</v>
      </c>
      <c r="E11" s="22">
        <v>1</v>
      </c>
      <c r="F11" s="18" t="s">
        <v>45</v>
      </c>
      <c r="G11" s="28" t="s">
        <v>187</v>
      </c>
      <c r="H11" s="39" t="s">
        <v>188</v>
      </c>
    </row>
    <row r="12" spans="1:8" ht="30" customHeight="1">
      <c r="A12" s="19" t="s">
        <v>183</v>
      </c>
      <c r="B12" s="19" t="s">
        <v>184</v>
      </c>
      <c r="C12" s="20" t="s">
        <v>189</v>
      </c>
      <c r="D12" s="21" t="s">
        <v>190</v>
      </c>
      <c r="E12" s="17">
        <v>2</v>
      </c>
      <c r="F12" s="18" t="s">
        <v>45</v>
      </c>
      <c r="G12" s="29" t="s">
        <v>191</v>
      </c>
      <c r="H12" s="40" t="s">
        <v>192</v>
      </c>
    </row>
    <row r="13" spans="1:8" ht="30" customHeight="1">
      <c r="A13" s="14" t="s">
        <v>183</v>
      </c>
      <c r="B13" s="14" t="s">
        <v>184</v>
      </c>
      <c r="C13" s="15" t="s">
        <v>193</v>
      </c>
      <c r="D13" s="16" t="s">
        <v>194</v>
      </c>
      <c r="E13" s="17">
        <v>2</v>
      </c>
      <c r="F13" s="18" t="s">
        <v>45</v>
      </c>
      <c r="G13" s="28" t="s">
        <v>195</v>
      </c>
      <c r="H13" s="39" t="s">
        <v>192</v>
      </c>
    </row>
    <row r="14" spans="1:8" ht="30" customHeight="1">
      <c r="A14" s="19" t="s">
        <v>183</v>
      </c>
      <c r="B14" s="19" t="s">
        <v>184</v>
      </c>
      <c r="C14" s="20" t="s">
        <v>196</v>
      </c>
      <c r="D14" s="21" t="s">
        <v>197</v>
      </c>
      <c r="E14" s="17">
        <v>2</v>
      </c>
      <c r="F14" s="18" t="s">
        <v>45</v>
      </c>
      <c r="G14" s="29" t="s">
        <v>198</v>
      </c>
      <c r="H14" s="39" t="s">
        <v>192</v>
      </c>
    </row>
    <row r="15" spans="1:8" ht="30" customHeight="1">
      <c r="A15" s="14" t="s">
        <v>183</v>
      </c>
      <c r="B15" s="14" t="s">
        <v>184</v>
      </c>
      <c r="C15" s="15" t="s">
        <v>199</v>
      </c>
      <c r="D15" s="16" t="s">
        <v>200</v>
      </c>
      <c r="E15" s="23">
        <v>3</v>
      </c>
      <c r="F15" s="18" t="s">
        <v>73</v>
      </c>
      <c r="G15" s="28" t="s">
        <v>201</v>
      </c>
      <c r="H15" s="32" t="s">
        <v>202</v>
      </c>
    </row>
    <row r="16" spans="1:8" ht="18" customHeight="1">
      <c r="A16" s="13" t="s">
        <v>203</v>
      </c>
      <c r="B16" s="13" t="s">
        <v>204</v>
      </c>
      <c r="C16" s="13"/>
      <c r="D16" s="13"/>
      <c r="E16" s="13"/>
      <c r="F16" s="13"/>
      <c r="G16" s="33" t="s">
        <v>171</v>
      </c>
      <c r="H16" s="34" t="s">
        <v>171</v>
      </c>
    </row>
    <row r="17" spans="1:8" ht="30" customHeight="1">
      <c r="A17" s="14" t="s">
        <v>203</v>
      </c>
      <c r="B17" s="14" t="s">
        <v>204</v>
      </c>
      <c r="C17" s="15" t="s">
        <v>205</v>
      </c>
      <c r="D17" s="16" t="s">
        <v>206</v>
      </c>
      <c r="E17" s="17">
        <v>2</v>
      </c>
      <c r="F17" s="18" t="s">
        <v>73</v>
      </c>
      <c r="G17" s="28" t="s">
        <v>207</v>
      </c>
      <c r="H17" s="32" t="s">
        <v>208</v>
      </c>
    </row>
    <row r="18" spans="1:8" ht="30" customHeight="1">
      <c r="A18" s="19" t="s">
        <v>203</v>
      </c>
      <c r="B18" s="19" t="s">
        <v>204</v>
      </c>
      <c r="C18" s="20" t="s">
        <v>209</v>
      </c>
      <c r="D18" s="21" t="s">
        <v>210</v>
      </c>
      <c r="E18" s="23">
        <v>3</v>
      </c>
      <c r="F18" s="18" t="s">
        <v>73</v>
      </c>
      <c r="G18" s="29" t="s">
        <v>211</v>
      </c>
      <c r="H18" s="31" t="s">
        <v>171</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200-000000000000}">
      <formula1>"Not Started,In Progress,Compliant,Not Applicable"</formula1>
      <formula2>0</formula2>
    </dataValidation>
  </dataValidations>
  <hyperlinks>
    <hyperlink ref="H7" r:id="rId1" xr:uid="{78AF30B8-263C-4655-92D1-452DB0CD3826}"/>
    <hyperlink ref="H8" r:id="rId2" xr:uid="{0C13B021-DC2D-4D6E-8B55-D2B23C3FA42D}"/>
    <hyperlink ref="H9" r:id="rId3" xr:uid="{BAA6DB78-6EE2-48AF-B805-902A4B2F87B0}"/>
    <hyperlink ref="H11" r:id="rId4" xr:uid="{3D68A4FC-127B-4F93-AAD7-075879824996}"/>
    <hyperlink ref="H12" r:id="rId5" xr:uid="{CD79D7B3-8E8E-429C-8D16-D10A5BAB25DD}"/>
    <hyperlink ref="H13" r:id="rId6" xr:uid="{3A1A427B-402D-4338-8B23-5F7C5D29F0EB}"/>
    <hyperlink ref="H14" r:id="rId7" xr:uid="{9EECE962-5C6E-4737-9366-5F2A731CBC45}"/>
  </hyperlinks>
  <pageMargins left="0.75" right="0.75" top="1" bottom="1"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75" zoomScaleNormal="75" workbookViewId="0">
      <pane ySplit="1" topLeftCell="A33" activePane="bottomLeft" state="frozen"/>
      <selection pane="bottomLeft" activeCell="F5" sqref="F5"/>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212</v>
      </c>
      <c r="B2" s="13" t="s">
        <v>213</v>
      </c>
      <c r="C2" s="13"/>
      <c r="D2" s="13"/>
      <c r="E2" s="13"/>
      <c r="F2" s="13"/>
      <c r="G2" s="13"/>
      <c r="H2" s="13"/>
    </row>
    <row r="3" spans="1:8" ht="30" customHeight="1">
      <c r="A3" s="14" t="s">
        <v>212</v>
      </c>
      <c r="B3" s="14" t="s">
        <v>213</v>
      </c>
      <c r="C3" s="15" t="s">
        <v>214</v>
      </c>
      <c r="D3" s="16" t="s">
        <v>215</v>
      </c>
      <c r="E3" s="23">
        <v>3</v>
      </c>
      <c r="F3" s="18" t="s">
        <v>73</v>
      </c>
      <c r="G3" s="26" t="s">
        <v>216</v>
      </c>
      <c r="H3" s="16"/>
    </row>
    <row r="4" spans="1:8" ht="18" customHeight="1">
      <c r="A4" s="13" t="s">
        <v>217</v>
      </c>
      <c r="B4" s="13" t="s">
        <v>218</v>
      </c>
      <c r="C4" s="13"/>
      <c r="D4" s="13"/>
      <c r="E4" s="13"/>
      <c r="F4" s="13"/>
      <c r="G4" s="13"/>
      <c r="H4" s="13"/>
    </row>
    <row r="5" spans="1:8" ht="30" customHeight="1">
      <c r="A5" s="14" t="s">
        <v>217</v>
      </c>
      <c r="B5" s="14" t="s">
        <v>218</v>
      </c>
      <c r="C5" s="15" t="s">
        <v>219</v>
      </c>
      <c r="D5" s="16" t="s">
        <v>220</v>
      </c>
      <c r="E5" s="22">
        <v>1</v>
      </c>
      <c r="F5" s="18" t="s">
        <v>58</v>
      </c>
      <c r="G5" s="16"/>
      <c r="H5" s="16"/>
    </row>
    <row r="6" spans="1:8" ht="30" customHeight="1">
      <c r="A6" s="19" t="s">
        <v>217</v>
      </c>
      <c r="B6" s="19" t="s">
        <v>218</v>
      </c>
      <c r="C6" s="20" t="s">
        <v>221</v>
      </c>
      <c r="D6" s="21" t="s">
        <v>222</v>
      </c>
      <c r="E6" s="22">
        <v>1</v>
      </c>
      <c r="F6" s="18" t="s">
        <v>73</v>
      </c>
      <c r="G6" s="27" t="s">
        <v>223</v>
      </c>
      <c r="H6" s="21"/>
    </row>
    <row r="7" spans="1:8" ht="30" customHeight="1">
      <c r="A7" s="14" t="s">
        <v>217</v>
      </c>
      <c r="B7" s="14" t="s">
        <v>218</v>
      </c>
      <c r="C7" s="15" t="s">
        <v>224</v>
      </c>
      <c r="D7" s="16" t="s">
        <v>225</v>
      </c>
      <c r="E7" s="23">
        <v>3</v>
      </c>
      <c r="F7" s="18" t="s">
        <v>58</v>
      </c>
      <c r="G7" s="28" t="s">
        <v>226</v>
      </c>
      <c r="H7" s="16"/>
    </row>
    <row r="8" spans="1:8" ht="18" customHeight="1">
      <c r="A8" s="13" t="s">
        <v>227</v>
      </c>
      <c r="B8" s="13" t="s">
        <v>228</v>
      </c>
      <c r="C8" s="13"/>
      <c r="D8" s="13"/>
      <c r="E8" s="13"/>
      <c r="F8" s="13"/>
      <c r="G8" s="13"/>
      <c r="H8" s="13"/>
    </row>
    <row r="9" spans="1:8" ht="30" customHeight="1">
      <c r="A9" s="14" t="s">
        <v>227</v>
      </c>
      <c r="B9" s="14" t="s">
        <v>228</v>
      </c>
      <c r="C9" s="15" t="s">
        <v>229</v>
      </c>
      <c r="D9" s="16" t="s">
        <v>230</v>
      </c>
      <c r="E9" s="22">
        <v>1</v>
      </c>
      <c r="F9" s="18" t="s">
        <v>73</v>
      </c>
      <c r="G9" s="26" t="s">
        <v>231</v>
      </c>
      <c r="H9" s="26" t="s">
        <v>232</v>
      </c>
    </row>
    <row r="10" spans="1:8" ht="30" customHeight="1">
      <c r="A10" s="19" t="s">
        <v>227</v>
      </c>
      <c r="B10" s="19" t="s">
        <v>228</v>
      </c>
      <c r="C10" s="20" t="s">
        <v>233</v>
      </c>
      <c r="D10" s="21" t="s">
        <v>234</v>
      </c>
      <c r="E10" s="17">
        <v>2</v>
      </c>
      <c r="F10" s="18" t="s">
        <v>73</v>
      </c>
      <c r="G10" s="29" t="s">
        <v>235</v>
      </c>
      <c r="H10" s="29" t="s">
        <v>232</v>
      </c>
    </row>
    <row r="11" spans="1:8" ht="30" customHeight="1">
      <c r="A11" s="14" t="s">
        <v>227</v>
      </c>
      <c r="B11" s="14" t="s">
        <v>228</v>
      </c>
      <c r="C11" s="15" t="s">
        <v>236</v>
      </c>
      <c r="D11" s="16" t="s">
        <v>237</v>
      </c>
      <c r="E11" s="17">
        <v>2</v>
      </c>
      <c r="F11" s="18" t="s">
        <v>73</v>
      </c>
      <c r="G11" s="28" t="s">
        <v>238</v>
      </c>
      <c r="H11" s="28" t="s">
        <v>232</v>
      </c>
    </row>
    <row r="12" spans="1:8" ht="30" customHeight="1">
      <c r="A12" s="19" t="s">
        <v>227</v>
      </c>
      <c r="B12" s="19" t="s">
        <v>228</v>
      </c>
      <c r="C12" s="20" t="s">
        <v>239</v>
      </c>
      <c r="D12" s="21" t="s">
        <v>240</v>
      </c>
      <c r="E12" s="17">
        <v>2</v>
      </c>
      <c r="F12" s="18" t="s">
        <v>73</v>
      </c>
      <c r="G12" s="29" t="s">
        <v>241</v>
      </c>
      <c r="H12" s="29" t="s">
        <v>232</v>
      </c>
    </row>
    <row r="13" spans="1:8" ht="30" customHeight="1">
      <c r="A13" s="14" t="s">
        <v>227</v>
      </c>
      <c r="B13" s="14" t="s">
        <v>228</v>
      </c>
      <c r="C13" s="15" t="s">
        <v>242</v>
      </c>
      <c r="D13" s="16" t="s">
        <v>243</v>
      </c>
      <c r="E13" s="23">
        <v>3</v>
      </c>
      <c r="F13" s="18" t="s">
        <v>73</v>
      </c>
      <c r="G13" s="28" t="s">
        <v>244</v>
      </c>
      <c r="H13" s="28" t="s">
        <v>232</v>
      </c>
    </row>
    <row r="14" spans="1:8" ht="18" customHeight="1">
      <c r="A14" s="13" t="s">
        <v>245</v>
      </c>
      <c r="B14" s="13" t="s">
        <v>246</v>
      </c>
      <c r="C14" s="13"/>
      <c r="D14" s="13"/>
      <c r="E14" s="13"/>
      <c r="F14" s="13"/>
      <c r="G14" s="13"/>
      <c r="H14" s="13"/>
    </row>
    <row r="15" spans="1:8" ht="30" customHeight="1">
      <c r="A15" s="14" t="s">
        <v>245</v>
      </c>
      <c r="B15" s="14" t="s">
        <v>246</v>
      </c>
      <c r="C15" s="15" t="s">
        <v>247</v>
      </c>
      <c r="D15" s="16" t="s">
        <v>248</v>
      </c>
      <c r="E15" s="22">
        <v>1</v>
      </c>
      <c r="F15" s="18" t="s">
        <v>58</v>
      </c>
      <c r="G15" s="26" t="s">
        <v>249</v>
      </c>
      <c r="H15" s="26" t="s">
        <v>250</v>
      </c>
    </row>
    <row r="16" spans="1:8" ht="30" customHeight="1">
      <c r="A16" s="19" t="s">
        <v>245</v>
      </c>
      <c r="B16" s="19" t="s">
        <v>246</v>
      </c>
      <c r="C16" s="20" t="s">
        <v>251</v>
      </c>
      <c r="D16" s="21" t="s">
        <v>252</v>
      </c>
      <c r="E16" s="22">
        <v>1</v>
      </c>
      <c r="F16" s="18" t="s">
        <v>58</v>
      </c>
      <c r="G16" s="29" t="s">
        <v>253</v>
      </c>
      <c r="H16" s="29" t="s">
        <v>254</v>
      </c>
    </row>
    <row r="17" spans="1:8" ht="30" customHeight="1">
      <c r="A17" s="14" t="s">
        <v>245</v>
      </c>
      <c r="B17" s="14" t="s">
        <v>246</v>
      </c>
      <c r="C17" s="15" t="s">
        <v>255</v>
      </c>
      <c r="D17" s="16" t="s">
        <v>256</v>
      </c>
      <c r="E17" s="17">
        <v>2</v>
      </c>
      <c r="F17" s="18" t="s">
        <v>58</v>
      </c>
      <c r="G17" s="28" t="s">
        <v>257</v>
      </c>
      <c r="H17" s="28" t="s">
        <v>254</v>
      </c>
    </row>
    <row r="18" spans="1:8" ht="30" customHeight="1">
      <c r="A18" s="19" t="s">
        <v>245</v>
      </c>
      <c r="B18" s="19" t="s">
        <v>246</v>
      </c>
      <c r="C18" s="20" t="s">
        <v>258</v>
      </c>
      <c r="D18" s="21" t="s">
        <v>259</v>
      </c>
      <c r="E18" s="17">
        <v>2</v>
      </c>
      <c r="F18" s="18" t="s">
        <v>58</v>
      </c>
      <c r="G18" s="29" t="s">
        <v>260</v>
      </c>
      <c r="H18" s="29" t="s">
        <v>261</v>
      </c>
    </row>
    <row r="19" spans="1:8" ht="30" customHeight="1">
      <c r="A19" s="14" t="s">
        <v>245</v>
      </c>
      <c r="B19" s="14" t="s">
        <v>246</v>
      </c>
      <c r="C19" s="15" t="s">
        <v>262</v>
      </c>
      <c r="D19" s="16" t="s">
        <v>263</v>
      </c>
      <c r="E19" s="17">
        <v>2</v>
      </c>
      <c r="F19" s="18" t="s">
        <v>58</v>
      </c>
      <c r="G19" s="28" t="s">
        <v>264</v>
      </c>
      <c r="H19" s="28" t="s">
        <v>254</v>
      </c>
    </row>
    <row r="20" spans="1:8" ht="30" customHeight="1">
      <c r="A20" s="19" t="s">
        <v>245</v>
      </c>
      <c r="B20" s="19" t="s">
        <v>246</v>
      </c>
      <c r="C20" s="20" t="s">
        <v>265</v>
      </c>
      <c r="D20" s="21" t="s">
        <v>266</v>
      </c>
      <c r="E20" s="17">
        <v>2</v>
      </c>
      <c r="F20" s="18" t="s">
        <v>58</v>
      </c>
      <c r="G20" s="29" t="s">
        <v>267</v>
      </c>
      <c r="H20" s="29" t="s">
        <v>268</v>
      </c>
    </row>
    <row r="21" spans="1:8" ht="30" customHeight="1">
      <c r="A21" s="14" t="s">
        <v>245</v>
      </c>
      <c r="B21" s="14" t="s">
        <v>246</v>
      </c>
      <c r="C21" s="15" t="s">
        <v>269</v>
      </c>
      <c r="D21" s="16" t="s">
        <v>270</v>
      </c>
      <c r="E21" s="23">
        <v>3</v>
      </c>
      <c r="F21" s="18" t="s">
        <v>58</v>
      </c>
      <c r="G21" s="28" t="s">
        <v>271</v>
      </c>
      <c r="H21" s="28" t="s">
        <v>254</v>
      </c>
    </row>
    <row r="22" spans="1:8" ht="30" customHeight="1">
      <c r="A22" s="19" t="s">
        <v>245</v>
      </c>
      <c r="B22" s="19" t="s">
        <v>246</v>
      </c>
      <c r="C22" s="20" t="s">
        <v>272</v>
      </c>
      <c r="D22" s="21" t="s">
        <v>273</v>
      </c>
      <c r="E22" s="23">
        <v>3</v>
      </c>
      <c r="F22" s="18" t="s">
        <v>58</v>
      </c>
      <c r="G22" s="29" t="s">
        <v>274</v>
      </c>
      <c r="H22" s="29" t="s">
        <v>254</v>
      </c>
    </row>
    <row r="23" spans="1:8" ht="18" customHeight="1">
      <c r="A23" s="13" t="s">
        <v>275</v>
      </c>
      <c r="B23" s="13" t="s">
        <v>276</v>
      </c>
      <c r="C23" s="13"/>
      <c r="D23" s="13"/>
      <c r="E23" s="13"/>
      <c r="F23" s="13"/>
      <c r="G23" s="13"/>
      <c r="H23" s="13"/>
    </row>
    <row r="24" spans="1:8" ht="30" customHeight="1">
      <c r="A24" s="14" t="s">
        <v>275</v>
      </c>
      <c r="B24" s="14" t="s">
        <v>276</v>
      </c>
      <c r="C24" s="15" t="s">
        <v>277</v>
      </c>
      <c r="D24" s="16" t="s">
        <v>278</v>
      </c>
      <c r="E24" s="22">
        <v>1</v>
      </c>
      <c r="F24" s="18" t="s">
        <v>73</v>
      </c>
      <c r="G24" s="26" t="s">
        <v>279</v>
      </c>
      <c r="H24" s="26" t="s">
        <v>232</v>
      </c>
    </row>
    <row r="25" spans="1:8" ht="30" customHeight="1">
      <c r="A25" s="19" t="s">
        <v>275</v>
      </c>
      <c r="B25" s="19" t="s">
        <v>276</v>
      </c>
      <c r="C25" s="20" t="s">
        <v>280</v>
      </c>
      <c r="D25" s="21" t="s">
        <v>281</v>
      </c>
      <c r="E25" s="22">
        <v>1</v>
      </c>
      <c r="F25" s="18" t="s">
        <v>58</v>
      </c>
      <c r="G25" s="29" t="s">
        <v>282</v>
      </c>
      <c r="H25" s="29" t="s">
        <v>254</v>
      </c>
    </row>
    <row r="26" spans="1:8" ht="30" customHeight="1">
      <c r="A26" s="14" t="s">
        <v>275</v>
      </c>
      <c r="B26" s="14" t="s">
        <v>276</v>
      </c>
      <c r="C26" s="15" t="s">
        <v>283</v>
      </c>
      <c r="D26" s="16" t="s">
        <v>284</v>
      </c>
      <c r="E26" s="22">
        <v>1</v>
      </c>
      <c r="F26" s="18" t="s">
        <v>285</v>
      </c>
      <c r="G26" s="28" t="s">
        <v>286</v>
      </c>
      <c r="H26" s="28" t="s">
        <v>287</v>
      </c>
    </row>
    <row r="27" spans="1:8" ht="30" customHeight="1">
      <c r="A27" s="19" t="s">
        <v>275</v>
      </c>
      <c r="B27" s="19" t="s">
        <v>276</v>
      </c>
      <c r="C27" s="20" t="s">
        <v>288</v>
      </c>
      <c r="D27" s="21" t="s">
        <v>289</v>
      </c>
      <c r="E27" s="17">
        <v>2</v>
      </c>
      <c r="F27" s="18" t="s">
        <v>73</v>
      </c>
      <c r="G27" s="29" t="s">
        <v>290</v>
      </c>
      <c r="H27" s="29" t="s">
        <v>171</v>
      </c>
    </row>
    <row r="28" spans="1:8" ht="30" customHeight="1">
      <c r="A28" s="14" t="s">
        <v>275</v>
      </c>
      <c r="B28" s="14" t="s">
        <v>276</v>
      </c>
      <c r="C28" s="15" t="s">
        <v>291</v>
      </c>
      <c r="D28" s="16" t="s">
        <v>292</v>
      </c>
      <c r="E28" s="17">
        <v>2</v>
      </c>
      <c r="F28" s="18" t="s">
        <v>73</v>
      </c>
      <c r="G28" s="28" t="s">
        <v>293</v>
      </c>
      <c r="H28" s="28" t="s">
        <v>171</v>
      </c>
    </row>
    <row r="29" spans="1:8" ht="30" customHeight="1">
      <c r="A29" s="19" t="s">
        <v>275</v>
      </c>
      <c r="B29" s="19" t="s">
        <v>276</v>
      </c>
      <c r="C29" s="20" t="s">
        <v>294</v>
      </c>
      <c r="D29" s="21" t="s">
        <v>295</v>
      </c>
      <c r="E29" s="23">
        <v>3</v>
      </c>
      <c r="F29" s="18" t="s">
        <v>73</v>
      </c>
      <c r="G29" s="29" t="s">
        <v>296</v>
      </c>
      <c r="H29" s="29" t="s">
        <v>171</v>
      </c>
    </row>
    <row r="30" spans="1:8" ht="30" customHeight="1">
      <c r="A30" s="14" t="s">
        <v>275</v>
      </c>
      <c r="B30" s="14" t="s">
        <v>276</v>
      </c>
      <c r="C30" s="15" t="s">
        <v>297</v>
      </c>
      <c r="D30" s="16" t="s">
        <v>298</v>
      </c>
      <c r="E30" s="23">
        <v>3</v>
      </c>
      <c r="F30" s="18" t="s">
        <v>73</v>
      </c>
      <c r="G30" s="28" t="s">
        <v>299</v>
      </c>
      <c r="H30" s="28" t="s">
        <v>171</v>
      </c>
    </row>
    <row r="31" spans="1:8" ht="30" customHeight="1">
      <c r="A31" s="19" t="s">
        <v>275</v>
      </c>
      <c r="B31" s="19" t="s">
        <v>276</v>
      </c>
      <c r="C31" s="20" t="s">
        <v>300</v>
      </c>
      <c r="D31" s="21" t="s">
        <v>301</v>
      </c>
      <c r="E31" s="23">
        <v>3</v>
      </c>
      <c r="F31" s="18" t="s">
        <v>45</v>
      </c>
      <c r="G31" s="29" t="s">
        <v>302</v>
      </c>
      <c r="H31" s="29" t="s">
        <v>254</v>
      </c>
    </row>
    <row r="32" spans="1:8" ht="18" customHeight="1">
      <c r="A32" s="13" t="s">
        <v>303</v>
      </c>
      <c r="B32" s="13" t="s">
        <v>304</v>
      </c>
      <c r="C32" s="13"/>
      <c r="D32" s="13"/>
      <c r="E32" s="13"/>
      <c r="F32" s="13"/>
      <c r="G32" s="13"/>
      <c r="H32" s="13"/>
    </row>
    <row r="33" spans="1:8" ht="30" customHeight="1">
      <c r="A33" s="14" t="s">
        <v>303</v>
      </c>
      <c r="B33" s="14" t="s">
        <v>304</v>
      </c>
      <c r="C33" s="15" t="s">
        <v>305</v>
      </c>
      <c r="D33" s="16" t="s">
        <v>306</v>
      </c>
      <c r="E33" s="23">
        <v>3</v>
      </c>
      <c r="F33" s="18" t="s">
        <v>73</v>
      </c>
      <c r="G33" s="26" t="s">
        <v>307</v>
      </c>
      <c r="H33" s="16"/>
    </row>
    <row r="34" spans="1:8" ht="18" customHeight="1">
      <c r="A34" s="13" t="s">
        <v>308</v>
      </c>
      <c r="B34" s="13" t="s">
        <v>309</v>
      </c>
      <c r="C34" s="13"/>
      <c r="D34" s="13"/>
      <c r="E34" s="13"/>
      <c r="F34" s="13"/>
      <c r="G34" s="13"/>
      <c r="H34" s="13"/>
    </row>
    <row r="35" spans="1:8" ht="30" customHeight="1">
      <c r="A35" s="14" t="s">
        <v>308</v>
      </c>
      <c r="B35" s="14" t="s">
        <v>309</v>
      </c>
      <c r="C35" s="15" t="s">
        <v>310</v>
      </c>
      <c r="D35" s="16" t="s">
        <v>311</v>
      </c>
      <c r="E35" s="17">
        <v>2</v>
      </c>
      <c r="F35" s="18" t="s">
        <v>73</v>
      </c>
      <c r="G35" s="26" t="s">
        <v>312</v>
      </c>
      <c r="H35" s="26" t="s">
        <v>171</v>
      </c>
    </row>
    <row r="36" spans="1:8" ht="30" customHeight="1">
      <c r="A36" s="19" t="s">
        <v>308</v>
      </c>
      <c r="B36" s="19" t="s">
        <v>309</v>
      </c>
      <c r="C36" s="20" t="s">
        <v>313</v>
      </c>
      <c r="D36" s="21" t="s">
        <v>314</v>
      </c>
      <c r="E36" s="17">
        <v>2</v>
      </c>
      <c r="F36" s="18" t="s">
        <v>58</v>
      </c>
      <c r="G36" s="29" t="s">
        <v>315</v>
      </c>
      <c r="H36" s="29" t="s">
        <v>316</v>
      </c>
    </row>
    <row r="37" spans="1:8" ht="30" customHeight="1">
      <c r="A37" s="14" t="s">
        <v>308</v>
      </c>
      <c r="B37" s="14" t="s">
        <v>309</v>
      </c>
      <c r="C37" s="15" t="s">
        <v>317</v>
      </c>
      <c r="D37" s="16" t="s">
        <v>318</v>
      </c>
      <c r="E37" s="23">
        <v>3</v>
      </c>
      <c r="F37" s="18" t="s">
        <v>73</v>
      </c>
      <c r="G37" s="28" t="s">
        <v>319</v>
      </c>
      <c r="H37" s="28" t="s">
        <v>171</v>
      </c>
    </row>
    <row r="38" spans="1:8" ht="30" customHeight="1">
      <c r="A38" s="19" t="s">
        <v>308</v>
      </c>
      <c r="B38" s="19" t="s">
        <v>309</v>
      </c>
      <c r="C38" s="20" t="s">
        <v>320</v>
      </c>
      <c r="D38" s="21" t="s">
        <v>321</v>
      </c>
      <c r="E38" s="23">
        <v>3</v>
      </c>
      <c r="F38" s="18" t="s">
        <v>58</v>
      </c>
      <c r="G38" s="29" t="s">
        <v>322</v>
      </c>
      <c r="H38" s="29" t="s">
        <v>250</v>
      </c>
    </row>
    <row r="39" spans="1:8" ht="30" customHeight="1">
      <c r="A39" s="14" t="s">
        <v>308</v>
      </c>
      <c r="B39" s="14" t="s">
        <v>309</v>
      </c>
      <c r="C39" s="15" t="s">
        <v>323</v>
      </c>
      <c r="D39" s="16" t="s">
        <v>324</v>
      </c>
      <c r="E39" s="23">
        <v>3</v>
      </c>
      <c r="F39" s="18" t="s">
        <v>73</v>
      </c>
      <c r="G39" s="28" t="s">
        <v>325</v>
      </c>
      <c r="H39" s="28" t="s">
        <v>171</v>
      </c>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9" xr:uid="{00000000-0002-0000-03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75" zoomScaleNormal="75" workbookViewId="0">
      <pane ySplit="1" topLeftCell="A6" activePane="bottomLeft" state="frozen"/>
      <selection pane="bottomLeft" activeCell="H7" sqref="H7"/>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326</v>
      </c>
      <c r="B2" s="13" t="s">
        <v>327</v>
      </c>
      <c r="C2" s="13"/>
      <c r="D2" s="13"/>
      <c r="E2" s="13"/>
      <c r="F2" s="13"/>
      <c r="G2" s="13"/>
      <c r="H2" s="13"/>
    </row>
    <row r="3" spans="1:8" ht="30" customHeight="1">
      <c r="A3" s="14" t="s">
        <v>326</v>
      </c>
      <c r="B3" s="14" t="s">
        <v>327</v>
      </c>
      <c r="C3" s="15" t="s">
        <v>328</v>
      </c>
      <c r="D3" s="16" t="s">
        <v>329</v>
      </c>
      <c r="E3" s="22">
        <v>1</v>
      </c>
      <c r="F3" s="18" t="s">
        <v>45</v>
      </c>
      <c r="G3" s="16" t="s">
        <v>330</v>
      </c>
      <c r="H3" s="16" t="s">
        <v>287</v>
      </c>
    </row>
    <row r="4" spans="1:8" ht="30" customHeight="1">
      <c r="A4" s="19" t="s">
        <v>326</v>
      </c>
      <c r="B4" s="19" t="s">
        <v>327</v>
      </c>
      <c r="C4" s="20" t="s">
        <v>331</v>
      </c>
      <c r="D4" s="21" t="s">
        <v>332</v>
      </c>
      <c r="E4" s="17">
        <v>2</v>
      </c>
      <c r="F4" s="18" t="s">
        <v>58</v>
      </c>
      <c r="G4" s="21" t="s">
        <v>333</v>
      </c>
      <c r="H4" s="21" t="s">
        <v>334</v>
      </c>
    </row>
    <row r="5" spans="1:8" ht="30" customHeight="1">
      <c r="A5" s="14" t="s">
        <v>326</v>
      </c>
      <c r="B5" s="14" t="s">
        <v>327</v>
      </c>
      <c r="C5" s="15" t="s">
        <v>335</v>
      </c>
      <c r="D5" s="16" t="s">
        <v>336</v>
      </c>
      <c r="E5" s="17">
        <v>2</v>
      </c>
      <c r="F5" s="18" t="s">
        <v>58</v>
      </c>
      <c r="G5" s="16" t="s">
        <v>337</v>
      </c>
      <c r="H5" s="16" t="s">
        <v>254</v>
      </c>
    </row>
    <row r="6" spans="1:8" ht="30" customHeight="1">
      <c r="A6" s="19" t="s">
        <v>326</v>
      </c>
      <c r="B6" s="19" t="s">
        <v>327</v>
      </c>
      <c r="C6" s="20" t="s">
        <v>338</v>
      </c>
      <c r="D6" s="21" t="s">
        <v>339</v>
      </c>
      <c r="E6" s="23">
        <v>3</v>
      </c>
      <c r="F6" s="18" t="s">
        <v>45</v>
      </c>
      <c r="G6" s="21" t="s">
        <v>340</v>
      </c>
      <c r="H6" s="21" t="s">
        <v>287</v>
      </c>
    </row>
    <row r="7" spans="1:8" ht="30" customHeight="1">
      <c r="A7" s="14" t="s">
        <v>326</v>
      </c>
      <c r="B7" s="14" t="s">
        <v>327</v>
      </c>
      <c r="C7" s="15" t="s">
        <v>341</v>
      </c>
      <c r="D7" s="16" t="s">
        <v>342</v>
      </c>
      <c r="E7" s="23">
        <v>3</v>
      </c>
      <c r="F7" s="18" t="s">
        <v>73</v>
      </c>
      <c r="G7" s="16" t="s">
        <v>343</v>
      </c>
      <c r="H7" s="16"/>
    </row>
    <row r="8" spans="1:8" ht="18" customHeight="1">
      <c r="A8" s="13" t="s">
        <v>344</v>
      </c>
      <c r="B8" s="13" t="s">
        <v>345</v>
      </c>
      <c r="C8" s="13"/>
      <c r="D8" s="13"/>
      <c r="E8" s="13"/>
      <c r="F8" s="13"/>
      <c r="G8" s="13"/>
      <c r="H8" s="13"/>
    </row>
    <row r="9" spans="1:8" ht="30" customHeight="1">
      <c r="A9" s="14" t="s">
        <v>344</v>
      </c>
      <c r="B9" s="14" t="s">
        <v>345</v>
      </c>
      <c r="C9" s="15" t="s">
        <v>346</v>
      </c>
      <c r="D9" s="16" t="s">
        <v>347</v>
      </c>
      <c r="E9" s="17">
        <v>2</v>
      </c>
      <c r="F9" s="18" t="s">
        <v>58</v>
      </c>
      <c r="G9" s="16" t="s">
        <v>348</v>
      </c>
      <c r="H9" s="16"/>
    </row>
    <row r="10" spans="1:8" ht="30" customHeight="1">
      <c r="A10" s="19" t="s">
        <v>344</v>
      </c>
      <c r="B10" s="19" t="s">
        <v>345</v>
      </c>
      <c r="C10" s="20" t="s">
        <v>349</v>
      </c>
      <c r="D10" s="21" t="s">
        <v>350</v>
      </c>
      <c r="E10" s="23">
        <v>3</v>
      </c>
      <c r="F10" s="18" t="s">
        <v>58</v>
      </c>
      <c r="G10" s="21" t="s">
        <v>351</v>
      </c>
      <c r="H10" s="21"/>
    </row>
    <row r="11" spans="1:8" ht="30" customHeight="1">
      <c r="A11" s="14" t="s">
        <v>344</v>
      </c>
      <c r="B11" s="14" t="s">
        <v>345</v>
      </c>
      <c r="C11" s="15" t="s">
        <v>352</v>
      </c>
      <c r="D11" s="16" t="s">
        <v>353</v>
      </c>
      <c r="E11" s="23">
        <v>3</v>
      </c>
      <c r="F11" s="18" t="s">
        <v>58</v>
      </c>
      <c r="G11" s="16" t="s">
        <v>354</v>
      </c>
      <c r="H11" s="16"/>
    </row>
    <row r="12" spans="1:8" ht="30" customHeight="1">
      <c r="A12" s="19" t="s">
        <v>344</v>
      </c>
      <c r="B12" s="19" t="s">
        <v>345</v>
      </c>
      <c r="C12" s="20" t="s">
        <v>355</v>
      </c>
      <c r="D12" s="21" t="s">
        <v>356</v>
      </c>
      <c r="E12" s="23">
        <v>3</v>
      </c>
      <c r="F12" s="18" t="s">
        <v>58</v>
      </c>
      <c r="G12" s="21" t="s">
        <v>357</v>
      </c>
      <c r="H12" s="21"/>
    </row>
    <row r="13" spans="1:8" ht="30" customHeight="1">
      <c r="A13" s="14" t="s">
        <v>344</v>
      </c>
      <c r="B13" s="14" t="s">
        <v>345</v>
      </c>
      <c r="C13" s="15" t="s">
        <v>358</v>
      </c>
      <c r="D13" s="16" t="s">
        <v>359</v>
      </c>
      <c r="E13" s="23">
        <v>3</v>
      </c>
      <c r="F13" s="18" t="s">
        <v>45</v>
      </c>
      <c r="G13" s="16" t="s">
        <v>360</v>
      </c>
      <c r="H13" s="16" t="s">
        <v>316</v>
      </c>
    </row>
    <row r="14" spans="1:8" ht="18" customHeight="1">
      <c r="A14" s="13" t="s">
        <v>361</v>
      </c>
      <c r="B14" s="13" t="s">
        <v>362</v>
      </c>
      <c r="C14" s="13"/>
      <c r="D14" s="13"/>
      <c r="E14" s="13"/>
      <c r="F14" s="13"/>
      <c r="G14" s="13"/>
      <c r="H14" s="13"/>
    </row>
    <row r="15" spans="1:8" ht="30" customHeight="1">
      <c r="A15" s="14" t="s">
        <v>361</v>
      </c>
      <c r="B15" s="14" t="s">
        <v>362</v>
      </c>
      <c r="C15" s="15" t="s">
        <v>363</v>
      </c>
      <c r="D15" s="16" t="s">
        <v>364</v>
      </c>
      <c r="E15" s="17">
        <v>2</v>
      </c>
      <c r="F15" s="18" t="s">
        <v>73</v>
      </c>
      <c r="G15" s="16" t="s">
        <v>365</v>
      </c>
      <c r="H15" s="16"/>
    </row>
    <row r="16" spans="1:8" ht="30" customHeight="1">
      <c r="A16" s="19" t="s">
        <v>361</v>
      </c>
      <c r="B16" s="19" t="s">
        <v>362</v>
      </c>
      <c r="C16" s="20" t="s">
        <v>366</v>
      </c>
      <c r="D16" s="21" t="s">
        <v>367</v>
      </c>
      <c r="E16" s="17">
        <v>2</v>
      </c>
      <c r="F16" s="18" t="s">
        <v>73</v>
      </c>
      <c r="G16" s="21" t="s">
        <v>368</v>
      </c>
      <c r="H16" s="21"/>
    </row>
    <row r="17" spans="1:8" ht="18" customHeight="1">
      <c r="A17" s="13" t="s">
        <v>369</v>
      </c>
      <c r="B17" s="13" t="s">
        <v>370</v>
      </c>
      <c r="C17" s="13"/>
      <c r="D17" s="13"/>
      <c r="E17" s="13"/>
      <c r="F17" s="13"/>
      <c r="G17" s="13"/>
      <c r="H17" s="13"/>
    </row>
    <row r="18" spans="1:8" ht="30" customHeight="1">
      <c r="A18" s="14" t="s">
        <v>369</v>
      </c>
      <c r="B18" s="14" t="s">
        <v>370</v>
      </c>
      <c r="C18" s="15" t="s">
        <v>371</v>
      </c>
      <c r="D18" s="16" t="s">
        <v>372</v>
      </c>
      <c r="E18" s="22">
        <v>1</v>
      </c>
      <c r="F18" s="18" t="s">
        <v>73</v>
      </c>
      <c r="G18" s="16" t="s">
        <v>373</v>
      </c>
      <c r="H18" s="16"/>
    </row>
    <row r="19" spans="1:8" ht="30" customHeight="1">
      <c r="A19" s="19" t="s">
        <v>369</v>
      </c>
      <c r="B19" s="19" t="s">
        <v>370</v>
      </c>
      <c r="C19" s="20" t="s">
        <v>374</v>
      </c>
      <c r="D19" s="21" t="s">
        <v>375</v>
      </c>
      <c r="E19" s="17">
        <v>2</v>
      </c>
      <c r="F19" s="18" t="s">
        <v>73</v>
      </c>
      <c r="G19" s="21" t="s">
        <v>376</v>
      </c>
      <c r="H19" s="21"/>
    </row>
    <row r="20" spans="1:8" ht="30" customHeight="1">
      <c r="A20" s="14" t="s">
        <v>369</v>
      </c>
      <c r="B20" s="14" t="s">
        <v>370</v>
      </c>
      <c r="C20" s="15" t="s">
        <v>377</v>
      </c>
      <c r="D20" s="16" t="s">
        <v>378</v>
      </c>
      <c r="E20" s="17">
        <v>2</v>
      </c>
      <c r="F20" s="18" t="s">
        <v>73</v>
      </c>
      <c r="G20" s="16" t="s">
        <v>379</v>
      </c>
      <c r="H20" s="16"/>
    </row>
    <row r="21" spans="1:8" ht="30" customHeight="1">
      <c r="A21" s="19" t="s">
        <v>369</v>
      </c>
      <c r="B21" s="19" t="s">
        <v>370</v>
      </c>
      <c r="C21" s="20" t="s">
        <v>380</v>
      </c>
      <c r="D21" s="21" t="s">
        <v>381</v>
      </c>
      <c r="E21" s="17">
        <v>2</v>
      </c>
      <c r="F21" s="18" t="s">
        <v>73</v>
      </c>
      <c r="G21" s="21" t="s">
        <v>382</v>
      </c>
      <c r="H21" s="21"/>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1" xr:uid="{00000000-0002-0000-04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zoomScale="75" zoomScaleNormal="75" workbookViewId="0">
      <pane ySplit="1" topLeftCell="C4" activePane="bottomLeft" state="frozen"/>
      <selection pane="bottomLeft" activeCell="F7" sqref="F7"/>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383</v>
      </c>
      <c r="B2" s="13" t="s">
        <v>384</v>
      </c>
      <c r="C2" s="13"/>
      <c r="D2" s="13"/>
      <c r="E2" s="13"/>
      <c r="F2" s="13"/>
      <c r="G2" s="13"/>
      <c r="H2" s="13"/>
    </row>
    <row r="3" spans="1:8" ht="30" customHeight="1">
      <c r="A3" s="14" t="s">
        <v>383</v>
      </c>
      <c r="B3" s="14" t="s">
        <v>384</v>
      </c>
      <c r="C3" s="15" t="s">
        <v>385</v>
      </c>
      <c r="D3" s="16" t="s">
        <v>386</v>
      </c>
      <c r="E3" s="17">
        <v>2</v>
      </c>
      <c r="F3" s="18" t="s">
        <v>45</v>
      </c>
      <c r="G3" s="16" t="s">
        <v>387</v>
      </c>
      <c r="H3" s="16" t="s">
        <v>388</v>
      </c>
    </row>
    <row r="4" spans="1:8" ht="18" customHeight="1">
      <c r="A4" s="13" t="s">
        <v>389</v>
      </c>
      <c r="B4" s="13" t="s">
        <v>390</v>
      </c>
      <c r="C4" s="13"/>
      <c r="D4" s="13"/>
      <c r="E4" s="13"/>
      <c r="F4" s="13"/>
      <c r="G4" s="13"/>
      <c r="H4" s="13"/>
    </row>
    <row r="5" spans="1:8" ht="30" customHeight="1">
      <c r="A5" s="14" t="s">
        <v>389</v>
      </c>
      <c r="B5" s="14" t="s">
        <v>390</v>
      </c>
      <c r="C5" s="15" t="s">
        <v>391</v>
      </c>
      <c r="D5" s="16" t="s">
        <v>392</v>
      </c>
      <c r="E5" s="22">
        <v>1</v>
      </c>
      <c r="F5" s="18" t="s">
        <v>45</v>
      </c>
      <c r="G5" s="16" t="s">
        <v>393</v>
      </c>
      <c r="H5" s="16" t="s">
        <v>394</v>
      </c>
    </row>
    <row r="6" spans="1:8" ht="30" customHeight="1">
      <c r="A6" s="19" t="s">
        <v>389</v>
      </c>
      <c r="B6" s="19" t="s">
        <v>390</v>
      </c>
      <c r="C6" s="20" t="s">
        <v>395</v>
      </c>
      <c r="D6" s="21" t="s">
        <v>396</v>
      </c>
      <c r="E6" s="22">
        <v>1</v>
      </c>
      <c r="F6" s="18" t="s">
        <v>285</v>
      </c>
      <c r="G6" s="21" t="s">
        <v>397</v>
      </c>
      <c r="H6" t="s">
        <v>398</v>
      </c>
    </row>
    <row r="7" spans="1:8" ht="30" customHeight="1">
      <c r="A7" s="14" t="s">
        <v>389</v>
      </c>
      <c r="B7" s="14" t="s">
        <v>390</v>
      </c>
      <c r="C7" s="15" t="s">
        <v>399</v>
      </c>
      <c r="D7" s="16" t="s">
        <v>400</v>
      </c>
      <c r="E7" s="17">
        <v>2</v>
      </c>
      <c r="F7" s="18" t="s">
        <v>73</v>
      </c>
      <c r="G7" s="16" t="s">
        <v>401</v>
      </c>
      <c r="H7" s="16" t="s">
        <v>402</v>
      </c>
    </row>
    <row r="8" spans="1:8" ht="30" customHeight="1">
      <c r="A8" s="19" t="s">
        <v>389</v>
      </c>
      <c r="B8" s="19" t="s">
        <v>390</v>
      </c>
      <c r="C8" s="20" t="s">
        <v>403</v>
      </c>
      <c r="D8" s="21" t="s">
        <v>404</v>
      </c>
      <c r="E8" s="23">
        <v>3</v>
      </c>
      <c r="F8" s="18" t="s">
        <v>285</v>
      </c>
      <c r="G8" s="21" t="s">
        <v>405</v>
      </c>
      <c r="H8" s="21"/>
    </row>
    <row r="9" spans="1:8" ht="30" customHeight="1">
      <c r="A9" s="14" t="s">
        <v>389</v>
      </c>
      <c r="B9" s="14" t="s">
        <v>390</v>
      </c>
      <c r="C9" s="15" t="s">
        <v>406</v>
      </c>
      <c r="D9" s="16" t="s">
        <v>407</v>
      </c>
      <c r="E9" s="23">
        <v>3</v>
      </c>
      <c r="F9" s="18" t="s">
        <v>285</v>
      </c>
      <c r="G9" s="16" t="s">
        <v>408</v>
      </c>
      <c r="H9" s="16" t="s">
        <v>409</v>
      </c>
    </row>
    <row r="10" spans="1:8" ht="30" customHeight="1">
      <c r="A10" s="19" t="s">
        <v>389</v>
      </c>
      <c r="B10" s="19" t="s">
        <v>390</v>
      </c>
      <c r="C10" s="20" t="s">
        <v>410</v>
      </c>
      <c r="D10" s="21" t="s">
        <v>411</v>
      </c>
      <c r="E10" s="23">
        <v>3</v>
      </c>
      <c r="F10" s="18" t="s">
        <v>285</v>
      </c>
      <c r="G10" s="21" t="s">
        <v>412</v>
      </c>
      <c r="H10" s="21" t="s">
        <v>413</v>
      </c>
    </row>
    <row r="11" spans="1:8" ht="18" customHeight="1">
      <c r="A11" s="13" t="s">
        <v>414</v>
      </c>
      <c r="B11" s="13" t="s">
        <v>415</v>
      </c>
      <c r="C11" s="13"/>
      <c r="D11" s="13"/>
      <c r="E11" s="13"/>
      <c r="F11" s="13"/>
      <c r="G11" s="13"/>
      <c r="H11" s="13"/>
    </row>
    <row r="12" spans="1:8" ht="30" customHeight="1">
      <c r="A12" s="14" t="s">
        <v>414</v>
      </c>
      <c r="B12" s="14" t="s">
        <v>415</v>
      </c>
      <c r="C12" s="15" t="s">
        <v>416</v>
      </c>
      <c r="D12" s="16" t="s">
        <v>417</v>
      </c>
      <c r="E12" s="22">
        <v>1</v>
      </c>
      <c r="F12" s="18" t="s">
        <v>45</v>
      </c>
      <c r="G12" s="16" t="s">
        <v>418</v>
      </c>
      <c r="H12" s="16"/>
    </row>
    <row r="13" spans="1:8" ht="30" customHeight="1">
      <c r="A13" s="19" t="s">
        <v>414</v>
      </c>
      <c r="B13" s="19" t="s">
        <v>415</v>
      </c>
      <c r="C13" s="20" t="s">
        <v>419</v>
      </c>
      <c r="D13" s="21" t="s">
        <v>420</v>
      </c>
      <c r="E13" s="22">
        <v>1</v>
      </c>
      <c r="F13" s="18" t="s">
        <v>45</v>
      </c>
      <c r="G13" s="21" t="s">
        <v>421</v>
      </c>
      <c r="H13" s="21"/>
    </row>
    <row r="14" spans="1:8" ht="30" customHeight="1">
      <c r="A14" s="14" t="s">
        <v>414</v>
      </c>
      <c r="B14" s="14" t="s">
        <v>415</v>
      </c>
      <c r="C14" s="15" t="s">
        <v>422</v>
      </c>
      <c r="D14" s="16" t="s">
        <v>423</v>
      </c>
      <c r="E14" s="23">
        <v>3</v>
      </c>
      <c r="F14" s="18" t="s">
        <v>73</v>
      </c>
      <c r="G14" s="16" t="s">
        <v>424</v>
      </c>
      <c r="H14" s="16" t="s">
        <v>425</v>
      </c>
    </row>
    <row r="15" spans="1:8" ht="18" customHeight="1">
      <c r="A15" s="13" t="s">
        <v>426</v>
      </c>
      <c r="B15" s="13" t="s">
        <v>427</v>
      </c>
      <c r="C15" s="13"/>
      <c r="D15" s="13"/>
      <c r="E15" s="13"/>
      <c r="F15" s="13"/>
      <c r="G15" s="13"/>
      <c r="H15" s="13"/>
    </row>
    <row r="16" spans="1:8" ht="30" customHeight="1">
      <c r="A16" s="14" t="s">
        <v>426</v>
      </c>
      <c r="B16" s="14" t="s">
        <v>427</v>
      </c>
      <c r="C16" s="15" t="s">
        <v>428</v>
      </c>
      <c r="D16" s="16" t="s">
        <v>429</v>
      </c>
      <c r="E16" s="17">
        <v>2</v>
      </c>
      <c r="F16" s="18" t="s">
        <v>73</v>
      </c>
      <c r="G16" s="16" t="s">
        <v>430</v>
      </c>
      <c r="H16" s="16" t="s">
        <v>409</v>
      </c>
    </row>
    <row r="17" spans="1:8" ht="30" customHeight="1">
      <c r="A17" s="19" t="s">
        <v>426</v>
      </c>
      <c r="B17" s="19" t="s">
        <v>427</v>
      </c>
      <c r="C17" s="20" t="s">
        <v>431</v>
      </c>
      <c r="D17" s="21" t="s">
        <v>432</v>
      </c>
      <c r="E17" s="17">
        <v>2</v>
      </c>
      <c r="F17" s="18" t="s">
        <v>73</v>
      </c>
      <c r="G17" s="21" t="s">
        <v>433</v>
      </c>
      <c r="H17" t="s">
        <v>316</v>
      </c>
    </row>
    <row r="18" spans="1:8" ht="30" customHeight="1">
      <c r="A18" s="14" t="s">
        <v>426</v>
      </c>
      <c r="B18" s="14" t="s">
        <v>427</v>
      </c>
      <c r="C18" s="15" t="s">
        <v>434</v>
      </c>
      <c r="D18" s="16" t="s">
        <v>435</v>
      </c>
      <c r="E18" s="17">
        <v>2</v>
      </c>
      <c r="F18" s="18" t="s">
        <v>58</v>
      </c>
      <c r="G18" s="16" t="s">
        <v>436</v>
      </c>
      <c r="H18" s="16" t="s">
        <v>437</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5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zoomScale="75" zoomScaleNormal="75" workbookViewId="0">
      <pane ySplit="1" topLeftCell="G48" activePane="bottomLeft" state="frozen"/>
      <selection pane="bottomLeft" activeCell="F50" sqref="F50"/>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438</v>
      </c>
      <c r="B2" s="13" t="s">
        <v>439</v>
      </c>
      <c r="C2" s="13"/>
      <c r="D2" s="13"/>
      <c r="E2" s="13"/>
      <c r="F2" s="13"/>
      <c r="G2" s="13"/>
      <c r="H2" s="13"/>
    </row>
    <row r="3" spans="1:8" ht="30" customHeight="1">
      <c r="A3" s="14" t="s">
        <v>438</v>
      </c>
      <c r="B3" s="14" t="s">
        <v>439</v>
      </c>
      <c r="C3" s="15" t="s">
        <v>440</v>
      </c>
      <c r="D3" s="16" t="s">
        <v>441</v>
      </c>
      <c r="E3" s="22">
        <v>1</v>
      </c>
      <c r="F3" s="18" t="s">
        <v>45</v>
      </c>
      <c r="G3" s="16" t="s">
        <v>442</v>
      </c>
      <c r="H3" s="16" t="s">
        <v>443</v>
      </c>
    </row>
    <row r="4" spans="1:8" ht="30" customHeight="1">
      <c r="A4" s="19" t="s">
        <v>438</v>
      </c>
      <c r="B4" s="19" t="s">
        <v>439</v>
      </c>
      <c r="C4" s="20" t="s">
        <v>444</v>
      </c>
      <c r="D4" s="21" t="s">
        <v>445</v>
      </c>
      <c r="E4" s="17">
        <v>2</v>
      </c>
      <c r="F4" s="18" t="s">
        <v>73</v>
      </c>
      <c r="G4" s="21" t="s">
        <v>446</v>
      </c>
      <c r="H4" s="21"/>
    </row>
    <row r="5" spans="1:8" ht="30" customHeight="1">
      <c r="A5" s="14" t="s">
        <v>438</v>
      </c>
      <c r="B5" s="14" t="s">
        <v>439</v>
      </c>
      <c r="C5" s="15" t="s">
        <v>447</v>
      </c>
      <c r="D5" s="16" t="s">
        <v>448</v>
      </c>
      <c r="E5" s="17">
        <v>2</v>
      </c>
      <c r="F5" s="18" t="s">
        <v>73</v>
      </c>
      <c r="G5" s="16" t="s">
        <v>449</v>
      </c>
      <c r="H5" s="16" t="s">
        <v>232</v>
      </c>
    </row>
    <row r="6" spans="1:8" ht="18" customHeight="1">
      <c r="A6" s="13" t="s">
        <v>450</v>
      </c>
      <c r="B6" s="13" t="s">
        <v>451</v>
      </c>
      <c r="C6" s="13"/>
      <c r="D6" s="13"/>
      <c r="E6" s="13"/>
      <c r="F6" s="13"/>
      <c r="G6" s="13"/>
      <c r="H6" s="13"/>
    </row>
    <row r="7" spans="1:8" ht="30" customHeight="1">
      <c r="A7" s="14" t="s">
        <v>450</v>
      </c>
      <c r="B7" s="14" t="s">
        <v>451</v>
      </c>
      <c r="C7" s="15" t="s">
        <v>452</v>
      </c>
      <c r="D7" s="16" t="s">
        <v>453</v>
      </c>
      <c r="E7" s="22">
        <v>1</v>
      </c>
      <c r="F7" s="18" t="s">
        <v>45</v>
      </c>
      <c r="G7" s="16" t="s">
        <v>454</v>
      </c>
      <c r="H7" s="16" t="s">
        <v>455</v>
      </c>
    </row>
    <row r="8" spans="1:8" ht="30" customHeight="1">
      <c r="A8" s="19" t="s">
        <v>450</v>
      </c>
      <c r="B8" s="19" t="s">
        <v>451</v>
      </c>
      <c r="C8" s="20" t="s">
        <v>456</v>
      </c>
      <c r="D8" s="21" t="s">
        <v>457</v>
      </c>
      <c r="E8" s="22">
        <v>1</v>
      </c>
      <c r="F8" s="18" t="s">
        <v>45</v>
      </c>
      <c r="G8" s="21" t="s">
        <v>458</v>
      </c>
      <c r="H8" s="21" t="s">
        <v>459</v>
      </c>
    </row>
    <row r="9" spans="1:8" ht="30" customHeight="1">
      <c r="A9" s="14" t="s">
        <v>450</v>
      </c>
      <c r="B9" s="14" t="s">
        <v>451</v>
      </c>
      <c r="C9" s="15" t="s">
        <v>460</v>
      </c>
      <c r="D9" s="16" t="s">
        <v>461</v>
      </c>
      <c r="E9" s="22">
        <v>1</v>
      </c>
      <c r="F9" s="18" t="s">
        <v>45</v>
      </c>
      <c r="G9" s="16" t="s">
        <v>462</v>
      </c>
      <c r="H9" s="16" t="s">
        <v>463</v>
      </c>
    </row>
    <row r="10" spans="1:8" ht="30" customHeight="1">
      <c r="A10" s="19" t="s">
        <v>450</v>
      </c>
      <c r="B10" s="19" t="s">
        <v>451</v>
      </c>
      <c r="C10" s="20" t="s">
        <v>464</v>
      </c>
      <c r="D10" s="21" t="s">
        <v>465</v>
      </c>
      <c r="E10" s="22">
        <v>1</v>
      </c>
      <c r="F10" s="18" t="s">
        <v>58</v>
      </c>
      <c r="G10" s="21" t="s">
        <v>466</v>
      </c>
      <c r="H10" s="21"/>
    </row>
    <row r="11" spans="1:8" ht="30" customHeight="1">
      <c r="A11" s="14" t="s">
        <v>450</v>
      </c>
      <c r="B11" s="14" t="s">
        <v>451</v>
      </c>
      <c r="C11" s="15" t="s">
        <v>467</v>
      </c>
      <c r="D11" s="16" t="s">
        <v>468</v>
      </c>
      <c r="E11" s="22">
        <v>1</v>
      </c>
      <c r="F11" s="18" t="s">
        <v>45</v>
      </c>
      <c r="G11" s="16" t="s">
        <v>469</v>
      </c>
      <c r="H11" s="16" t="s">
        <v>455</v>
      </c>
    </row>
    <row r="12" spans="1:8" ht="30" customHeight="1">
      <c r="A12" s="19" t="s">
        <v>450</v>
      </c>
      <c r="B12" s="19" t="s">
        <v>451</v>
      </c>
      <c r="C12" s="20" t="s">
        <v>470</v>
      </c>
      <c r="D12" s="21" t="s">
        <v>471</v>
      </c>
      <c r="E12" s="22">
        <v>1</v>
      </c>
      <c r="F12" s="18" t="s">
        <v>73</v>
      </c>
      <c r="G12" s="21" t="s">
        <v>472</v>
      </c>
      <c r="H12" s="21"/>
    </row>
    <row r="13" spans="1:8" ht="30" customHeight="1">
      <c r="A13" s="14" t="s">
        <v>450</v>
      </c>
      <c r="B13" s="14" t="s">
        <v>451</v>
      </c>
      <c r="C13" s="15" t="s">
        <v>473</v>
      </c>
      <c r="D13" s="16" t="s">
        <v>474</v>
      </c>
      <c r="E13" s="22">
        <v>1</v>
      </c>
      <c r="F13" s="18" t="s">
        <v>73</v>
      </c>
      <c r="G13" s="16" t="s">
        <v>475</v>
      </c>
      <c r="H13" s="16"/>
    </row>
    <row r="14" spans="1:8" ht="30" customHeight="1">
      <c r="A14" s="19" t="s">
        <v>450</v>
      </c>
      <c r="B14" s="19" t="s">
        <v>451</v>
      </c>
      <c r="C14" s="20" t="s">
        <v>476</v>
      </c>
      <c r="D14" s="21" t="s">
        <v>477</v>
      </c>
      <c r="E14" s="22">
        <v>1</v>
      </c>
      <c r="F14" s="18" t="s">
        <v>45</v>
      </c>
      <c r="G14" s="21" t="s">
        <v>478</v>
      </c>
      <c r="H14" s="21" t="s">
        <v>479</v>
      </c>
    </row>
    <row r="15" spans="1:8" ht="30" customHeight="1">
      <c r="A15" s="14" t="s">
        <v>450</v>
      </c>
      <c r="B15" s="14" t="s">
        <v>451</v>
      </c>
      <c r="C15" s="15" t="s">
        <v>480</v>
      </c>
      <c r="D15" s="16" t="s">
        <v>481</v>
      </c>
      <c r="E15" s="17">
        <v>2</v>
      </c>
      <c r="F15" s="18" t="s">
        <v>45</v>
      </c>
      <c r="G15" s="16" t="s">
        <v>482</v>
      </c>
      <c r="H15" s="16" t="s">
        <v>455</v>
      </c>
    </row>
    <row r="16" spans="1:8" ht="30" customHeight="1">
      <c r="A16" s="19" t="s">
        <v>450</v>
      </c>
      <c r="B16" s="19" t="s">
        <v>451</v>
      </c>
      <c r="C16" s="20" t="s">
        <v>483</v>
      </c>
      <c r="D16" s="21" t="s">
        <v>484</v>
      </c>
      <c r="E16" s="17">
        <v>2</v>
      </c>
      <c r="F16" s="18" t="s">
        <v>45</v>
      </c>
      <c r="G16" s="21" t="s">
        <v>485</v>
      </c>
      <c r="H16" s="21" t="s">
        <v>486</v>
      </c>
    </row>
    <row r="17" spans="1:8" ht="30" customHeight="1">
      <c r="A17" s="14" t="s">
        <v>450</v>
      </c>
      <c r="B17" s="14" t="s">
        <v>451</v>
      </c>
      <c r="C17" s="15" t="s">
        <v>487</v>
      </c>
      <c r="D17" s="16" t="s">
        <v>488</v>
      </c>
      <c r="E17" s="17">
        <v>2</v>
      </c>
      <c r="F17" s="18" t="s">
        <v>45</v>
      </c>
      <c r="G17" s="16" t="s">
        <v>489</v>
      </c>
      <c r="H17" s="24" t="s">
        <v>490</v>
      </c>
    </row>
    <row r="18" spans="1:8" ht="30" customHeight="1">
      <c r="A18" s="19" t="s">
        <v>450</v>
      </c>
      <c r="B18" s="19" t="s">
        <v>451</v>
      </c>
      <c r="C18" s="20" t="s">
        <v>491</v>
      </c>
      <c r="D18" s="21" t="s">
        <v>492</v>
      </c>
      <c r="E18" s="17">
        <v>2</v>
      </c>
      <c r="F18" s="18" t="s">
        <v>45</v>
      </c>
      <c r="G18" s="21" t="s">
        <v>493</v>
      </c>
      <c r="H18" s="21"/>
    </row>
    <row r="19" spans="1:8" ht="18" customHeight="1">
      <c r="A19" s="13" t="s">
        <v>494</v>
      </c>
      <c r="B19" s="13" t="s">
        <v>495</v>
      </c>
      <c r="C19" s="13"/>
      <c r="D19" s="13"/>
      <c r="E19" s="13"/>
      <c r="F19" s="13"/>
      <c r="G19" s="13"/>
      <c r="H19" s="13"/>
    </row>
    <row r="20" spans="1:8" ht="30" customHeight="1">
      <c r="A20" s="14" t="s">
        <v>494</v>
      </c>
      <c r="B20" s="14" t="s">
        <v>495</v>
      </c>
      <c r="C20" s="15" t="s">
        <v>496</v>
      </c>
      <c r="D20" s="16" t="s">
        <v>497</v>
      </c>
      <c r="E20" s="22">
        <v>1</v>
      </c>
      <c r="F20" s="18" t="s">
        <v>58</v>
      </c>
      <c r="G20" s="16" t="s">
        <v>498</v>
      </c>
      <c r="H20" s="16" t="s">
        <v>208</v>
      </c>
    </row>
    <row r="21" spans="1:8" ht="30" customHeight="1">
      <c r="A21" s="19" t="s">
        <v>494</v>
      </c>
      <c r="B21" s="19" t="s">
        <v>495</v>
      </c>
      <c r="C21" s="20" t="s">
        <v>499</v>
      </c>
      <c r="D21" s="21" t="s">
        <v>500</v>
      </c>
      <c r="E21" s="22">
        <v>1</v>
      </c>
      <c r="F21" s="18" t="s">
        <v>45</v>
      </c>
      <c r="G21" s="21" t="s">
        <v>501</v>
      </c>
      <c r="H21" s="21" t="s">
        <v>502</v>
      </c>
    </row>
    <row r="22" spans="1:8" ht="30" customHeight="1">
      <c r="A22" s="14" t="s">
        <v>494</v>
      </c>
      <c r="B22" s="14" t="s">
        <v>495</v>
      </c>
      <c r="C22" s="15" t="s">
        <v>503</v>
      </c>
      <c r="D22" s="16" t="s">
        <v>504</v>
      </c>
      <c r="E22" s="17">
        <v>2</v>
      </c>
      <c r="F22" s="18" t="s">
        <v>73</v>
      </c>
      <c r="G22" s="16" t="s">
        <v>505</v>
      </c>
      <c r="H22" s="16"/>
    </row>
    <row r="23" spans="1:8" ht="30" customHeight="1">
      <c r="A23" s="19" t="s">
        <v>494</v>
      </c>
      <c r="B23" s="19" t="s">
        <v>495</v>
      </c>
      <c r="C23" s="20" t="s">
        <v>506</v>
      </c>
      <c r="D23" s="21" t="s">
        <v>507</v>
      </c>
      <c r="E23" s="17">
        <v>2</v>
      </c>
      <c r="F23" s="18" t="s">
        <v>73</v>
      </c>
      <c r="G23" s="21" t="s">
        <v>508</v>
      </c>
      <c r="H23" s="21" t="s">
        <v>232</v>
      </c>
    </row>
    <row r="24" spans="1:8" ht="30" customHeight="1">
      <c r="A24" s="14" t="s">
        <v>494</v>
      </c>
      <c r="B24" s="14" t="s">
        <v>495</v>
      </c>
      <c r="C24" s="15" t="s">
        <v>509</v>
      </c>
      <c r="D24" s="16" t="s">
        <v>510</v>
      </c>
      <c r="E24" s="23">
        <v>3</v>
      </c>
      <c r="F24" s="18" t="s">
        <v>58</v>
      </c>
      <c r="G24" s="16" t="s">
        <v>511</v>
      </c>
      <c r="H24" s="16"/>
    </row>
    <row r="25" spans="1:8" ht="30" customHeight="1">
      <c r="A25" s="19" t="s">
        <v>494</v>
      </c>
      <c r="B25" s="19" t="s">
        <v>495</v>
      </c>
      <c r="C25" s="20" t="s">
        <v>512</v>
      </c>
      <c r="D25" s="21" t="s">
        <v>513</v>
      </c>
      <c r="E25" s="23">
        <v>3</v>
      </c>
      <c r="F25" s="18" t="s">
        <v>73</v>
      </c>
      <c r="G25" s="21" t="s">
        <v>514</v>
      </c>
      <c r="H25" s="21"/>
    </row>
    <row r="26" spans="1:8" ht="30" customHeight="1">
      <c r="A26" s="14" t="s">
        <v>494</v>
      </c>
      <c r="B26" s="14" t="s">
        <v>495</v>
      </c>
      <c r="C26" s="15" t="s">
        <v>515</v>
      </c>
      <c r="D26" s="16" t="s">
        <v>516</v>
      </c>
      <c r="E26" s="23">
        <v>3</v>
      </c>
      <c r="F26" s="18" t="s">
        <v>58</v>
      </c>
      <c r="G26" s="16" t="s">
        <v>517</v>
      </c>
      <c r="H26" s="16"/>
    </row>
    <row r="27" spans="1:8" ht="30" customHeight="1">
      <c r="A27" s="19" t="s">
        <v>494</v>
      </c>
      <c r="B27" s="19" t="s">
        <v>495</v>
      </c>
      <c r="C27" s="20" t="s">
        <v>518</v>
      </c>
      <c r="D27" s="21" t="s">
        <v>519</v>
      </c>
      <c r="E27" s="23">
        <v>3</v>
      </c>
      <c r="F27" s="18" t="s">
        <v>45</v>
      </c>
      <c r="G27" s="21" t="s">
        <v>520</v>
      </c>
      <c r="H27" s="21" t="s">
        <v>521</v>
      </c>
    </row>
    <row r="28" spans="1:8" ht="18" customHeight="1">
      <c r="A28" s="13" t="s">
        <v>522</v>
      </c>
      <c r="B28" s="13" t="s">
        <v>523</v>
      </c>
      <c r="C28" s="13"/>
      <c r="D28" s="13"/>
      <c r="E28" s="13"/>
      <c r="F28" s="13"/>
      <c r="G28" s="13"/>
      <c r="H28" s="13"/>
    </row>
    <row r="29" spans="1:8" ht="30" customHeight="1">
      <c r="A29" s="14" t="s">
        <v>522</v>
      </c>
      <c r="B29" s="14" t="s">
        <v>523</v>
      </c>
      <c r="C29" s="15" t="s">
        <v>524</v>
      </c>
      <c r="D29" s="16" t="s">
        <v>525</v>
      </c>
      <c r="E29" s="22">
        <v>1</v>
      </c>
      <c r="F29" s="18" t="s">
        <v>73</v>
      </c>
      <c r="G29" s="16" t="s">
        <v>526</v>
      </c>
      <c r="H29" s="16"/>
    </row>
    <row r="30" spans="1:8" ht="30" customHeight="1">
      <c r="A30" s="19" t="s">
        <v>522</v>
      </c>
      <c r="B30" s="19" t="s">
        <v>523</v>
      </c>
      <c r="C30" s="20" t="s">
        <v>527</v>
      </c>
      <c r="D30" s="21" t="s">
        <v>528</v>
      </c>
      <c r="E30" s="22">
        <v>1</v>
      </c>
      <c r="F30" s="18" t="s">
        <v>73</v>
      </c>
      <c r="G30" s="21" t="s">
        <v>529</v>
      </c>
      <c r="H30" s="21"/>
    </row>
    <row r="31" spans="1:8" ht="30" customHeight="1">
      <c r="A31" s="14" t="s">
        <v>522</v>
      </c>
      <c r="B31" s="14" t="s">
        <v>523</v>
      </c>
      <c r="C31" s="15" t="s">
        <v>530</v>
      </c>
      <c r="D31" s="16" t="s">
        <v>531</v>
      </c>
      <c r="E31" s="17">
        <v>2</v>
      </c>
      <c r="F31" s="18" t="s">
        <v>58</v>
      </c>
      <c r="G31" s="16" t="s">
        <v>532</v>
      </c>
      <c r="H31" s="16"/>
    </row>
    <row r="32" spans="1:8" ht="30" customHeight="1">
      <c r="A32" s="19" t="s">
        <v>522</v>
      </c>
      <c r="B32" s="19" t="s">
        <v>523</v>
      </c>
      <c r="C32" s="20" t="s">
        <v>533</v>
      </c>
      <c r="D32" s="21" t="s">
        <v>534</v>
      </c>
      <c r="E32" s="17">
        <v>2</v>
      </c>
      <c r="F32" s="18" t="s">
        <v>73</v>
      </c>
      <c r="G32" s="21" t="s">
        <v>535</v>
      </c>
      <c r="H32" s="21"/>
    </row>
    <row r="33" spans="1:8" ht="30" customHeight="1">
      <c r="A33" s="14" t="s">
        <v>522</v>
      </c>
      <c r="B33" s="14" t="s">
        <v>523</v>
      </c>
      <c r="C33" s="15" t="s">
        <v>536</v>
      </c>
      <c r="D33" s="16" t="s">
        <v>537</v>
      </c>
      <c r="E33" s="23">
        <v>3</v>
      </c>
      <c r="F33" s="18" t="s">
        <v>73</v>
      </c>
      <c r="G33" s="16" t="s">
        <v>538</v>
      </c>
      <c r="H33" s="16"/>
    </row>
    <row r="34" spans="1:8" ht="30" customHeight="1">
      <c r="A34" s="19" t="s">
        <v>522</v>
      </c>
      <c r="B34" s="19" t="s">
        <v>523</v>
      </c>
      <c r="C34" s="20" t="s">
        <v>539</v>
      </c>
      <c r="D34" s="21" t="s">
        <v>540</v>
      </c>
      <c r="E34" s="23">
        <v>3</v>
      </c>
      <c r="F34" s="18" t="s">
        <v>73</v>
      </c>
      <c r="G34" s="21" t="s">
        <v>541</v>
      </c>
      <c r="H34" s="21"/>
    </row>
    <row r="35" spans="1:8" ht="18" customHeight="1">
      <c r="A35" s="13" t="s">
        <v>542</v>
      </c>
      <c r="B35" s="13" t="s">
        <v>543</v>
      </c>
      <c r="C35" s="13"/>
      <c r="D35" s="13"/>
      <c r="E35" s="13"/>
      <c r="F35" s="13"/>
      <c r="G35" s="13"/>
      <c r="H35" s="13"/>
    </row>
    <row r="36" spans="1:8" ht="30" customHeight="1">
      <c r="A36" s="14" t="s">
        <v>542</v>
      </c>
      <c r="B36" s="14" t="s">
        <v>543</v>
      </c>
      <c r="C36" s="15" t="s">
        <v>544</v>
      </c>
      <c r="D36" s="16" t="s">
        <v>545</v>
      </c>
      <c r="E36" s="17">
        <v>2</v>
      </c>
      <c r="F36" s="18" t="s">
        <v>73</v>
      </c>
      <c r="G36" s="16" t="s">
        <v>546</v>
      </c>
      <c r="H36" s="16"/>
    </row>
    <row r="37" spans="1:8" ht="30" customHeight="1">
      <c r="A37" s="19" t="s">
        <v>542</v>
      </c>
      <c r="B37" s="19" t="s">
        <v>543</v>
      </c>
      <c r="C37" s="20" t="s">
        <v>547</v>
      </c>
      <c r="D37" s="21" t="s">
        <v>548</v>
      </c>
      <c r="E37" s="17">
        <v>2</v>
      </c>
      <c r="F37" s="18" t="s">
        <v>73</v>
      </c>
      <c r="G37" s="16" t="s">
        <v>546</v>
      </c>
      <c r="H37" s="21"/>
    </row>
    <row r="38" spans="1:8" ht="30" customHeight="1">
      <c r="A38" s="14" t="s">
        <v>542</v>
      </c>
      <c r="B38" s="14" t="s">
        <v>543</v>
      </c>
      <c r="C38" s="15" t="s">
        <v>549</v>
      </c>
      <c r="D38" s="16" t="s">
        <v>550</v>
      </c>
      <c r="E38" s="17">
        <v>2</v>
      </c>
      <c r="F38" s="18" t="s">
        <v>73</v>
      </c>
      <c r="G38" s="16" t="s">
        <v>546</v>
      </c>
      <c r="H38" s="16"/>
    </row>
    <row r="39" spans="1:8" ht="30" customHeight="1">
      <c r="A39" s="19" t="s">
        <v>542</v>
      </c>
      <c r="B39" s="19" t="s">
        <v>543</v>
      </c>
      <c r="C39" s="20" t="s">
        <v>551</v>
      </c>
      <c r="D39" s="21" t="s">
        <v>552</v>
      </c>
      <c r="E39" s="17">
        <v>2</v>
      </c>
      <c r="F39" s="18" t="s">
        <v>73</v>
      </c>
      <c r="G39" s="16" t="s">
        <v>546</v>
      </c>
      <c r="H39" s="21"/>
    </row>
    <row r="40" spans="1:8" ht="30" customHeight="1">
      <c r="A40" s="14" t="s">
        <v>542</v>
      </c>
      <c r="B40" s="14" t="s">
        <v>543</v>
      </c>
      <c r="C40" s="15" t="s">
        <v>553</v>
      </c>
      <c r="D40" s="16" t="s">
        <v>554</v>
      </c>
      <c r="E40" s="17">
        <v>2</v>
      </c>
      <c r="F40" s="18" t="s">
        <v>73</v>
      </c>
      <c r="G40" s="16" t="s">
        <v>546</v>
      </c>
      <c r="H40" s="16"/>
    </row>
    <row r="41" spans="1:8" ht="30" customHeight="1">
      <c r="A41" s="19" t="s">
        <v>542</v>
      </c>
      <c r="B41" s="19" t="s">
        <v>543</v>
      </c>
      <c r="C41" s="20" t="s">
        <v>555</v>
      </c>
      <c r="D41" s="21" t="s">
        <v>556</v>
      </c>
      <c r="E41" s="23">
        <v>3</v>
      </c>
      <c r="F41" s="18" t="s">
        <v>73</v>
      </c>
      <c r="G41" s="16" t="s">
        <v>546</v>
      </c>
      <c r="H41" s="21"/>
    </row>
    <row r="42" spans="1:8" ht="30" customHeight="1">
      <c r="A42" s="14" t="s">
        <v>542</v>
      </c>
      <c r="B42" s="14" t="s">
        <v>543</v>
      </c>
      <c r="C42" s="15" t="s">
        <v>557</v>
      </c>
      <c r="D42" s="16" t="s">
        <v>558</v>
      </c>
      <c r="E42" s="23">
        <v>3</v>
      </c>
      <c r="F42" s="18" t="s">
        <v>73</v>
      </c>
      <c r="G42" s="16" t="s">
        <v>546</v>
      </c>
      <c r="H42" s="16"/>
    </row>
    <row r="43" spans="1:8" ht="30" customHeight="1">
      <c r="A43" s="19" t="s">
        <v>542</v>
      </c>
      <c r="B43" s="19" t="s">
        <v>543</v>
      </c>
      <c r="C43" s="20" t="s">
        <v>559</v>
      </c>
      <c r="D43" s="21" t="s">
        <v>560</v>
      </c>
      <c r="E43" s="23">
        <v>3</v>
      </c>
      <c r="F43" s="18" t="s">
        <v>73</v>
      </c>
      <c r="G43" s="16" t="s">
        <v>546</v>
      </c>
      <c r="H43" s="21"/>
    </row>
    <row r="44" spans="1:8" ht="18" customHeight="1">
      <c r="A44" s="13" t="s">
        <v>561</v>
      </c>
      <c r="B44" s="13" t="s">
        <v>562</v>
      </c>
      <c r="C44" s="13"/>
      <c r="D44" s="13"/>
      <c r="E44" s="13"/>
      <c r="F44" s="13"/>
      <c r="G44" s="13"/>
      <c r="H44" s="13"/>
    </row>
    <row r="45" spans="1:8" ht="30" customHeight="1">
      <c r="A45" s="14" t="s">
        <v>561</v>
      </c>
      <c r="B45" s="14" t="s">
        <v>562</v>
      </c>
      <c r="C45" s="15" t="s">
        <v>563</v>
      </c>
      <c r="D45" s="16" t="s">
        <v>564</v>
      </c>
      <c r="E45" s="17">
        <v>2</v>
      </c>
      <c r="F45" s="18" t="s">
        <v>73</v>
      </c>
      <c r="G45" s="16" t="s">
        <v>565</v>
      </c>
      <c r="H45" s="16"/>
    </row>
    <row r="46" spans="1:8" ht="30" customHeight="1">
      <c r="A46" s="19" t="s">
        <v>561</v>
      </c>
      <c r="B46" s="19" t="s">
        <v>562</v>
      </c>
      <c r="C46" s="20" t="s">
        <v>566</v>
      </c>
      <c r="D46" s="21" t="s">
        <v>567</v>
      </c>
      <c r="E46" s="17">
        <v>2</v>
      </c>
      <c r="F46" s="18" t="s">
        <v>73</v>
      </c>
      <c r="G46" s="16" t="s">
        <v>565</v>
      </c>
      <c r="H46" s="21"/>
    </row>
    <row r="47" spans="1:8" ht="30" customHeight="1">
      <c r="A47" s="14" t="s">
        <v>561</v>
      </c>
      <c r="B47" s="14" t="s">
        <v>562</v>
      </c>
      <c r="C47" s="15" t="s">
        <v>568</v>
      </c>
      <c r="D47" s="16" t="s">
        <v>569</v>
      </c>
      <c r="E47" s="17">
        <v>2</v>
      </c>
      <c r="F47" s="18" t="s">
        <v>73</v>
      </c>
      <c r="G47" s="16" t="s">
        <v>565</v>
      </c>
      <c r="H47" s="16"/>
    </row>
    <row r="48" spans="1:8" ht="30" customHeight="1">
      <c r="A48" s="19" t="s">
        <v>561</v>
      </c>
      <c r="B48" s="19" t="s">
        <v>562</v>
      </c>
      <c r="C48" s="20" t="s">
        <v>570</v>
      </c>
      <c r="D48" s="21" t="s">
        <v>571</v>
      </c>
      <c r="E48" s="23">
        <v>3</v>
      </c>
      <c r="F48" s="18" t="s">
        <v>73</v>
      </c>
      <c r="G48" s="16" t="s">
        <v>565</v>
      </c>
      <c r="H48" s="21"/>
    </row>
    <row r="49" spans="1:8" ht="18" customHeight="1">
      <c r="A49" s="13" t="s">
        <v>572</v>
      </c>
      <c r="B49" s="13" t="s">
        <v>573</v>
      </c>
      <c r="C49" s="13"/>
      <c r="D49" s="13"/>
      <c r="E49" s="13"/>
      <c r="F49" s="13"/>
      <c r="G49" s="13"/>
      <c r="H49" s="13"/>
    </row>
    <row r="50" spans="1:8" ht="30" customHeight="1">
      <c r="A50" s="14" t="s">
        <v>572</v>
      </c>
      <c r="B50" s="14" t="s">
        <v>573</v>
      </c>
      <c r="C50" s="15" t="s">
        <v>574</v>
      </c>
      <c r="D50" s="16" t="s">
        <v>575</v>
      </c>
      <c r="E50" s="23">
        <v>3</v>
      </c>
      <c r="F50" s="18" t="s">
        <v>45</v>
      </c>
      <c r="G50" s="16" t="s">
        <v>576</v>
      </c>
      <c r="H50" s="16" t="s">
        <v>577</v>
      </c>
    </row>
    <row r="51" spans="1:8" ht="30" customHeight="1">
      <c r="A51" s="19" t="s">
        <v>572</v>
      </c>
      <c r="B51" s="19" t="s">
        <v>573</v>
      </c>
      <c r="C51" s="20" t="s">
        <v>578</v>
      </c>
      <c r="D51" s="21" t="s">
        <v>579</v>
      </c>
      <c r="E51" s="23">
        <v>3</v>
      </c>
      <c r="F51" s="18" t="s">
        <v>73</v>
      </c>
      <c r="G51" s="21" t="s">
        <v>580</v>
      </c>
      <c r="H51" s="21"/>
    </row>
    <row r="52" spans="1:8" ht="18" customHeight="1">
      <c r="A52" s="13" t="s">
        <v>581</v>
      </c>
      <c r="B52" s="13" t="s">
        <v>582</v>
      </c>
      <c r="C52" s="13"/>
      <c r="D52" s="13"/>
      <c r="E52" s="13"/>
      <c r="F52" s="13"/>
      <c r="G52" s="13"/>
      <c r="H52" s="13"/>
    </row>
    <row r="53" spans="1:8" ht="30" customHeight="1">
      <c r="A53" s="14" t="s">
        <v>581</v>
      </c>
      <c r="B53" s="14" t="s">
        <v>582</v>
      </c>
      <c r="C53" s="15" t="s">
        <v>583</v>
      </c>
      <c r="D53" s="16" t="s">
        <v>584</v>
      </c>
      <c r="E53" s="17">
        <v>2</v>
      </c>
      <c r="F53" s="18" t="s">
        <v>73</v>
      </c>
      <c r="G53" s="16" t="s">
        <v>585</v>
      </c>
      <c r="H53" s="16"/>
    </row>
    <row r="54" spans="1:8" ht="30" customHeight="1">
      <c r="A54" s="19" t="s">
        <v>581</v>
      </c>
      <c r="B54" s="19" t="s">
        <v>582</v>
      </c>
      <c r="C54" s="20" t="s">
        <v>586</v>
      </c>
      <c r="D54" s="21" t="s">
        <v>587</v>
      </c>
      <c r="E54" s="17">
        <v>2</v>
      </c>
      <c r="F54" s="18" t="s">
        <v>73</v>
      </c>
      <c r="G54" s="16" t="s">
        <v>585</v>
      </c>
      <c r="H54" s="21"/>
    </row>
    <row r="55" spans="1:8" ht="30" customHeight="1">
      <c r="A55" s="14" t="s">
        <v>581</v>
      </c>
      <c r="B55" s="14" t="s">
        <v>582</v>
      </c>
      <c r="C55" s="15" t="s">
        <v>588</v>
      </c>
      <c r="D55" s="16" t="s">
        <v>589</v>
      </c>
      <c r="E55" s="17">
        <v>2</v>
      </c>
      <c r="F55" s="18" t="s">
        <v>73</v>
      </c>
      <c r="G55" s="16" t="s">
        <v>585</v>
      </c>
      <c r="H55" s="16"/>
    </row>
    <row r="56" spans="1:8" ht="30" customHeight="1">
      <c r="A56" s="19" t="s">
        <v>581</v>
      </c>
      <c r="B56" s="19" t="s">
        <v>582</v>
      </c>
      <c r="C56" s="20" t="s">
        <v>590</v>
      </c>
      <c r="D56" s="21" t="s">
        <v>591</v>
      </c>
      <c r="E56" s="17">
        <v>2</v>
      </c>
      <c r="F56" s="18" t="s">
        <v>73</v>
      </c>
      <c r="G56" s="16" t="s">
        <v>585</v>
      </c>
      <c r="H56" s="21"/>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600-000000000000}">
      <formula1>"Not Started,In Progress,Compliant,Not Applicable"</formula1>
      <formula2>0</formula2>
    </dataValidation>
  </dataValidations>
  <hyperlinks>
    <hyperlink ref="H17" r:id="rId1" xr:uid="{ED613266-58BC-408C-B753-1F40261464FF}"/>
  </hyperlinks>
  <pageMargins left="0.75" right="0.75" top="1" bottom="1" header="0.51180555555555496" footer="0.51180555555555496"/>
  <pageSetup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zoomScale="75" zoomScaleNormal="75" workbookViewId="0">
      <pane ySplit="1" topLeftCell="B10" activePane="bottomLeft" state="frozen"/>
      <selection pane="bottomLeft" activeCell="G15" sqref="G15"/>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592</v>
      </c>
      <c r="B2" s="13" t="s">
        <v>593</v>
      </c>
      <c r="C2" s="13"/>
      <c r="D2" s="13"/>
      <c r="E2" s="13"/>
      <c r="F2" s="13"/>
      <c r="G2" s="13"/>
      <c r="H2" s="13"/>
    </row>
    <row r="3" spans="1:8" ht="30" customHeight="1">
      <c r="A3" s="14" t="s">
        <v>592</v>
      </c>
      <c r="B3" s="14" t="s">
        <v>593</v>
      </c>
      <c r="C3" s="15" t="s">
        <v>594</v>
      </c>
      <c r="D3" s="16" t="s">
        <v>595</v>
      </c>
      <c r="E3" s="17">
        <v>2</v>
      </c>
      <c r="F3" s="18" t="s">
        <v>45</v>
      </c>
      <c r="G3" s="16"/>
      <c r="H3" s="16" t="s">
        <v>596</v>
      </c>
    </row>
    <row r="4" spans="1:8" ht="30" customHeight="1">
      <c r="A4" s="19" t="s">
        <v>592</v>
      </c>
      <c r="B4" s="19" t="s">
        <v>593</v>
      </c>
      <c r="C4" s="20" t="s">
        <v>597</v>
      </c>
      <c r="D4" s="21" t="s">
        <v>598</v>
      </c>
      <c r="E4" s="17">
        <v>2</v>
      </c>
      <c r="F4" s="18" t="s">
        <v>45</v>
      </c>
      <c r="G4" s="21"/>
      <c r="H4" s="21" t="s">
        <v>599</v>
      </c>
    </row>
    <row r="5" spans="1:8" ht="30" customHeight="1">
      <c r="A5" s="14" t="s">
        <v>592</v>
      </c>
      <c r="B5" s="14" t="s">
        <v>593</v>
      </c>
      <c r="C5" s="15" t="s">
        <v>600</v>
      </c>
      <c r="D5" s="16" t="s">
        <v>601</v>
      </c>
      <c r="E5" s="17">
        <v>2</v>
      </c>
      <c r="F5" s="18" t="s">
        <v>73</v>
      </c>
      <c r="G5" s="16"/>
      <c r="H5" s="16"/>
    </row>
    <row r="6" spans="1:8" ht="18" customHeight="1">
      <c r="A6" s="13" t="s">
        <v>602</v>
      </c>
      <c r="B6" s="13" t="s">
        <v>603</v>
      </c>
      <c r="C6" s="13"/>
      <c r="D6" s="13"/>
      <c r="E6" s="13"/>
      <c r="F6" s="13"/>
      <c r="G6" s="13"/>
      <c r="H6" s="13"/>
    </row>
    <row r="7" spans="1:8" ht="30" customHeight="1">
      <c r="A7" s="14" t="s">
        <v>602</v>
      </c>
      <c r="B7" s="14" t="s">
        <v>603</v>
      </c>
      <c r="C7" s="15" t="s">
        <v>604</v>
      </c>
      <c r="D7" s="16" t="s">
        <v>605</v>
      </c>
      <c r="E7" s="22">
        <v>1</v>
      </c>
      <c r="F7" s="18" t="s">
        <v>45</v>
      </c>
      <c r="G7" s="16" t="s">
        <v>606</v>
      </c>
      <c r="H7" s="16" t="s">
        <v>607</v>
      </c>
    </row>
    <row r="8" spans="1:8" ht="30" customHeight="1">
      <c r="A8" s="19" t="s">
        <v>602</v>
      </c>
      <c r="B8" s="19" t="s">
        <v>603</v>
      </c>
      <c r="C8" s="20" t="s">
        <v>608</v>
      </c>
      <c r="D8" s="21" t="s">
        <v>609</v>
      </c>
      <c r="E8" s="22">
        <v>1</v>
      </c>
      <c r="F8" s="18" t="s">
        <v>45</v>
      </c>
      <c r="G8" s="21" t="s">
        <v>610</v>
      </c>
      <c r="H8" s="21" t="s">
        <v>611</v>
      </c>
    </row>
    <row r="9" spans="1:8" ht="30" customHeight="1">
      <c r="A9" s="14" t="s">
        <v>602</v>
      </c>
      <c r="B9" s="14" t="s">
        <v>603</v>
      </c>
      <c r="C9" s="15" t="s">
        <v>612</v>
      </c>
      <c r="D9" s="16" t="s">
        <v>613</v>
      </c>
      <c r="E9" s="22">
        <v>1</v>
      </c>
      <c r="F9" s="18" t="s">
        <v>73</v>
      </c>
      <c r="G9" s="16" t="s">
        <v>614</v>
      </c>
      <c r="H9" s="16"/>
    </row>
    <row r="10" spans="1:8" ht="30" customHeight="1">
      <c r="A10" s="19" t="s">
        <v>602</v>
      </c>
      <c r="B10" s="19" t="s">
        <v>603</v>
      </c>
      <c r="C10" s="20" t="s">
        <v>615</v>
      </c>
      <c r="D10" s="21" t="s">
        <v>616</v>
      </c>
      <c r="E10" s="22">
        <v>1</v>
      </c>
      <c r="F10" s="18" t="s">
        <v>45</v>
      </c>
      <c r="G10" s="21" t="s">
        <v>617</v>
      </c>
      <c r="H10" s="21"/>
    </row>
    <row r="11" spans="1:8" ht="18" customHeight="1">
      <c r="A11" s="13" t="s">
        <v>618</v>
      </c>
      <c r="B11" s="13" t="s">
        <v>619</v>
      </c>
      <c r="C11" s="13"/>
      <c r="D11" s="13"/>
      <c r="E11" s="13"/>
      <c r="F11" s="13"/>
      <c r="G11" s="13"/>
      <c r="H11" s="13"/>
    </row>
    <row r="12" spans="1:8" ht="30" customHeight="1">
      <c r="A12" s="14" t="s">
        <v>618</v>
      </c>
      <c r="B12" s="14" t="s">
        <v>619</v>
      </c>
      <c r="C12" s="15" t="s">
        <v>620</v>
      </c>
      <c r="D12" s="16" t="s">
        <v>621</v>
      </c>
      <c r="E12" s="17">
        <v>2</v>
      </c>
      <c r="F12" s="18" t="s">
        <v>45</v>
      </c>
      <c r="G12" s="16" t="s">
        <v>622</v>
      </c>
      <c r="H12" s="16"/>
    </row>
    <row r="13" spans="1:8" ht="30" customHeight="1">
      <c r="A13" s="19" t="s">
        <v>618</v>
      </c>
      <c r="B13" s="19" t="s">
        <v>619</v>
      </c>
      <c r="C13" s="20" t="s">
        <v>623</v>
      </c>
      <c r="D13" s="21" t="s">
        <v>624</v>
      </c>
      <c r="E13" s="17">
        <v>2</v>
      </c>
      <c r="F13" s="18" t="s">
        <v>45</v>
      </c>
      <c r="G13" s="21" t="s">
        <v>625</v>
      </c>
      <c r="H13" s="21" t="s">
        <v>611</v>
      </c>
    </row>
    <row r="14" spans="1:8" ht="18" customHeight="1">
      <c r="A14" s="13" t="s">
        <v>626</v>
      </c>
      <c r="B14" s="13" t="s">
        <v>627</v>
      </c>
      <c r="C14" s="13"/>
      <c r="D14" s="13"/>
      <c r="E14" s="13"/>
      <c r="F14" s="13"/>
      <c r="G14" s="13"/>
      <c r="H14" s="13"/>
    </row>
    <row r="15" spans="1:8" ht="30" customHeight="1">
      <c r="A15" s="14" t="s">
        <v>626</v>
      </c>
      <c r="B15" s="14" t="s">
        <v>627</v>
      </c>
      <c r="C15" s="15" t="s">
        <v>628</v>
      </c>
      <c r="D15" s="16" t="s">
        <v>629</v>
      </c>
      <c r="E15" s="22">
        <v>1</v>
      </c>
      <c r="F15" s="18" t="s">
        <v>45</v>
      </c>
      <c r="G15" s="16" t="s">
        <v>630</v>
      </c>
      <c r="H15" s="16"/>
    </row>
    <row r="16" spans="1:8" ht="30" customHeight="1">
      <c r="A16" s="19" t="s">
        <v>626</v>
      </c>
      <c r="B16" s="19" t="s">
        <v>627</v>
      </c>
      <c r="C16" s="20" t="s">
        <v>631</v>
      </c>
      <c r="D16" s="21" t="s">
        <v>632</v>
      </c>
      <c r="E16" s="22">
        <v>1</v>
      </c>
      <c r="F16" s="18" t="s">
        <v>73</v>
      </c>
      <c r="G16" s="21" t="s">
        <v>633</v>
      </c>
      <c r="H16" s="21"/>
    </row>
    <row r="17" spans="1:8" ht="30" customHeight="1">
      <c r="A17" s="14" t="s">
        <v>626</v>
      </c>
      <c r="B17" s="14" t="s">
        <v>627</v>
      </c>
      <c r="C17" s="15" t="s">
        <v>634</v>
      </c>
      <c r="D17" s="16" t="s">
        <v>635</v>
      </c>
      <c r="E17" s="17">
        <v>2</v>
      </c>
      <c r="F17" s="18" t="s">
        <v>73</v>
      </c>
      <c r="G17" s="16"/>
      <c r="H17" s="16"/>
    </row>
    <row r="18" spans="1:8" ht="30" customHeight="1">
      <c r="A18" s="19" t="s">
        <v>626</v>
      </c>
      <c r="B18" s="19" t="s">
        <v>627</v>
      </c>
      <c r="C18" s="20" t="s">
        <v>636</v>
      </c>
      <c r="D18" s="21" t="s">
        <v>637</v>
      </c>
      <c r="E18" s="17">
        <v>2</v>
      </c>
      <c r="F18" s="18" t="s">
        <v>58</v>
      </c>
      <c r="G18" s="21" t="s">
        <v>638</v>
      </c>
      <c r="H18" s="21"/>
    </row>
    <row r="19" spans="1:8" ht="30" customHeight="1">
      <c r="A19" s="14" t="s">
        <v>626</v>
      </c>
      <c r="B19" s="14" t="s">
        <v>627</v>
      </c>
      <c r="C19" s="15" t="s">
        <v>639</v>
      </c>
      <c r="D19" s="16" t="s">
        <v>640</v>
      </c>
      <c r="E19" s="17">
        <v>2</v>
      </c>
      <c r="F19" s="18" t="s">
        <v>58</v>
      </c>
      <c r="G19" s="16"/>
      <c r="H19" s="16"/>
    </row>
    <row r="20" spans="1:8" ht="18" customHeight="1">
      <c r="A20" s="13" t="s">
        <v>641</v>
      </c>
      <c r="B20" s="13" t="s">
        <v>642</v>
      </c>
      <c r="C20" s="13"/>
      <c r="D20" s="13"/>
      <c r="E20" s="13"/>
      <c r="F20" s="13"/>
      <c r="G20" s="13"/>
      <c r="H20" s="13"/>
    </row>
    <row r="21" spans="1:8" ht="30" customHeight="1">
      <c r="A21" s="14" t="s">
        <v>641</v>
      </c>
      <c r="B21" s="14" t="s">
        <v>642</v>
      </c>
      <c r="C21" s="15" t="s">
        <v>643</v>
      </c>
      <c r="D21" s="16" t="s">
        <v>644</v>
      </c>
      <c r="E21" s="17">
        <v>2</v>
      </c>
      <c r="F21" s="18" t="s">
        <v>58</v>
      </c>
      <c r="G21" s="16"/>
      <c r="H21" s="16"/>
    </row>
    <row r="22" spans="1:8" ht="30" customHeight="1">
      <c r="A22" s="19" t="s">
        <v>641</v>
      </c>
      <c r="B22" s="19" t="s">
        <v>642</v>
      </c>
      <c r="C22" s="20" t="s">
        <v>645</v>
      </c>
      <c r="D22" s="21" t="s">
        <v>646</v>
      </c>
      <c r="E22" s="17">
        <v>2</v>
      </c>
      <c r="F22" s="18" t="s">
        <v>58</v>
      </c>
      <c r="G22" s="21"/>
      <c r="H22" s="21"/>
    </row>
    <row r="23" spans="1:8" ht="30" customHeight="1">
      <c r="A23" s="14" t="s">
        <v>641</v>
      </c>
      <c r="B23" s="14" t="s">
        <v>642</v>
      </c>
      <c r="C23" s="15" t="s">
        <v>647</v>
      </c>
      <c r="D23" s="16" t="s">
        <v>648</v>
      </c>
      <c r="E23" s="23">
        <v>3</v>
      </c>
      <c r="F23" s="18" t="s">
        <v>58</v>
      </c>
      <c r="G23" s="16"/>
      <c r="H23" s="16"/>
    </row>
    <row r="24" spans="1:8" ht="18" customHeight="1">
      <c r="A24" s="13" t="s">
        <v>649</v>
      </c>
      <c r="B24" s="13" t="s">
        <v>650</v>
      </c>
      <c r="C24" s="13"/>
      <c r="D24" s="13"/>
      <c r="E24" s="13"/>
      <c r="F24" s="13"/>
      <c r="G24" s="13"/>
      <c r="H24" s="13"/>
    </row>
    <row r="25" spans="1:8" ht="30" customHeight="1">
      <c r="A25" s="14" t="s">
        <v>649</v>
      </c>
      <c r="B25" s="14" t="s">
        <v>650</v>
      </c>
      <c r="C25" s="15" t="s">
        <v>651</v>
      </c>
      <c r="D25" s="16" t="s">
        <v>652</v>
      </c>
      <c r="E25" s="17">
        <v>2</v>
      </c>
      <c r="F25" s="18" t="s">
        <v>73</v>
      </c>
      <c r="G25" s="16" t="s">
        <v>653</v>
      </c>
      <c r="H25" s="16"/>
    </row>
    <row r="26" spans="1:8" ht="30" customHeight="1">
      <c r="A26" s="19" t="s">
        <v>649</v>
      </c>
      <c r="B26" s="19" t="s">
        <v>650</v>
      </c>
      <c r="C26" s="20" t="s">
        <v>654</v>
      </c>
      <c r="D26" s="21" t="s">
        <v>655</v>
      </c>
      <c r="E26" s="17">
        <v>2</v>
      </c>
      <c r="F26" s="18" t="s">
        <v>45</v>
      </c>
      <c r="G26" s="21" t="s">
        <v>656</v>
      </c>
      <c r="H26" s="21"/>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7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zoomScale="75" zoomScaleNormal="75" workbookViewId="0">
      <pane ySplit="1" topLeftCell="A3" activePane="bottomLeft" state="frozen"/>
      <selection pane="bottomLeft" activeCell="G11" sqref="G11"/>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657</v>
      </c>
      <c r="B2" s="13" t="s">
        <v>658</v>
      </c>
      <c r="C2" s="13"/>
      <c r="D2" s="13"/>
      <c r="E2" s="13"/>
      <c r="F2" s="13"/>
      <c r="G2" s="13"/>
      <c r="H2" s="13"/>
    </row>
    <row r="3" spans="1:8" ht="30" customHeight="1">
      <c r="A3" s="14" t="s">
        <v>657</v>
      </c>
      <c r="B3" s="14" t="s">
        <v>658</v>
      </c>
      <c r="C3" s="15" t="s">
        <v>659</v>
      </c>
      <c r="D3" s="16" t="s">
        <v>660</v>
      </c>
      <c r="E3" s="22">
        <v>1</v>
      </c>
      <c r="F3" s="18" t="s">
        <v>45</v>
      </c>
      <c r="G3" s="16" t="s">
        <v>661</v>
      </c>
      <c r="H3" s="16" t="s">
        <v>662</v>
      </c>
    </row>
    <row r="4" spans="1:8" ht="30" customHeight="1">
      <c r="A4" s="19" t="s">
        <v>657</v>
      </c>
      <c r="B4" s="19" t="s">
        <v>658</v>
      </c>
      <c r="C4" s="20" t="s">
        <v>663</v>
      </c>
      <c r="D4" s="21" t="s">
        <v>664</v>
      </c>
      <c r="E4" s="17">
        <v>2</v>
      </c>
      <c r="F4" s="18" t="s">
        <v>45</v>
      </c>
      <c r="G4" s="21" t="s">
        <v>665</v>
      </c>
      <c r="H4" s="21" t="s">
        <v>666</v>
      </c>
    </row>
    <row r="5" spans="1:8" ht="30" customHeight="1">
      <c r="A5" s="14" t="s">
        <v>657</v>
      </c>
      <c r="B5" s="14" t="s">
        <v>658</v>
      </c>
      <c r="C5" s="15" t="s">
        <v>667</v>
      </c>
      <c r="D5" s="16" t="s">
        <v>668</v>
      </c>
      <c r="E5" s="23">
        <v>3</v>
      </c>
      <c r="F5" s="18" t="s">
        <v>73</v>
      </c>
      <c r="G5" s="16"/>
      <c r="H5" s="16"/>
    </row>
    <row r="6" spans="1:8" ht="30" customHeight="1">
      <c r="A6" s="19" t="s">
        <v>657</v>
      </c>
      <c r="B6" s="19" t="s">
        <v>658</v>
      </c>
      <c r="C6" s="20" t="s">
        <v>669</v>
      </c>
      <c r="D6" s="21" t="s">
        <v>670</v>
      </c>
      <c r="E6" s="23">
        <v>3</v>
      </c>
      <c r="F6" s="18" t="s">
        <v>45</v>
      </c>
      <c r="G6" s="21" t="s">
        <v>671</v>
      </c>
      <c r="H6" s="21"/>
    </row>
    <row r="7" spans="1:8" ht="18" customHeight="1">
      <c r="A7" s="13" t="s">
        <v>672</v>
      </c>
      <c r="B7" s="13" t="s">
        <v>673</v>
      </c>
      <c r="C7" s="13"/>
      <c r="D7" s="13"/>
      <c r="E7" s="13"/>
      <c r="F7" s="13"/>
      <c r="G7" s="13"/>
      <c r="H7" s="13"/>
    </row>
    <row r="8" spans="1:8" ht="30" customHeight="1">
      <c r="A8" s="14" t="s">
        <v>672</v>
      </c>
      <c r="B8" s="14" t="s">
        <v>673</v>
      </c>
      <c r="C8" s="15" t="s">
        <v>674</v>
      </c>
      <c r="D8" s="16" t="s">
        <v>675</v>
      </c>
      <c r="E8" s="22">
        <v>1</v>
      </c>
      <c r="F8" s="18" t="s">
        <v>45</v>
      </c>
      <c r="G8" s="16" t="s">
        <v>676</v>
      </c>
      <c r="H8" s="24" t="s">
        <v>677</v>
      </c>
    </row>
    <row r="9" spans="1:8" ht="30" customHeight="1">
      <c r="A9" s="19" t="s">
        <v>672</v>
      </c>
      <c r="B9" s="19" t="s">
        <v>673</v>
      </c>
      <c r="C9" s="20" t="s">
        <v>678</v>
      </c>
      <c r="D9" s="21" t="s">
        <v>679</v>
      </c>
      <c r="E9" s="22">
        <v>1</v>
      </c>
      <c r="F9" s="18" t="s">
        <v>45</v>
      </c>
      <c r="G9" s="21" t="s">
        <v>680</v>
      </c>
      <c r="H9" s="21" t="s">
        <v>681</v>
      </c>
    </row>
    <row r="10" spans="1:8" ht="30" customHeight="1">
      <c r="A10" s="14" t="s">
        <v>672</v>
      </c>
      <c r="B10" s="14" t="s">
        <v>673</v>
      </c>
      <c r="C10" s="15" t="s">
        <v>682</v>
      </c>
      <c r="D10" s="16" t="s">
        <v>683</v>
      </c>
      <c r="E10" s="17">
        <v>2</v>
      </c>
      <c r="F10" s="18" t="s">
        <v>285</v>
      </c>
      <c r="G10" s="16"/>
      <c r="H10" s="16"/>
    </row>
    <row r="11" spans="1:8" ht="30" customHeight="1">
      <c r="A11" s="19" t="s">
        <v>672</v>
      </c>
      <c r="B11" s="19" t="s">
        <v>673</v>
      </c>
      <c r="C11" s="20" t="s">
        <v>684</v>
      </c>
      <c r="D11" s="21" t="s">
        <v>685</v>
      </c>
      <c r="E11" s="23">
        <v>3</v>
      </c>
      <c r="F11" s="18" t="s">
        <v>73</v>
      </c>
      <c r="G11" s="21"/>
      <c r="H11" s="21"/>
    </row>
    <row r="12" spans="1:8" ht="18" customHeight="1">
      <c r="A12" s="13" t="s">
        <v>686</v>
      </c>
      <c r="B12" s="13" t="s">
        <v>687</v>
      </c>
      <c r="C12" s="13"/>
      <c r="D12" s="13"/>
      <c r="E12" s="13"/>
      <c r="F12" s="13"/>
      <c r="G12" s="13"/>
      <c r="H12" s="13"/>
    </row>
    <row r="13" spans="1:8" ht="30" customHeight="1">
      <c r="A13" s="14" t="s">
        <v>686</v>
      </c>
      <c r="B13" s="14" t="s">
        <v>687</v>
      </c>
      <c r="C13" s="15" t="s">
        <v>688</v>
      </c>
      <c r="D13" s="16" t="s">
        <v>689</v>
      </c>
      <c r="E13" s="22">
        <v>1</v>
      </c>
      <c r="F13" s="18" t="s">
        <v>45</v>
      </c>
      <c r="G13" s="16" t="s">
        <v>690</v>
      </c>
      <c r="H13" s="16" t="s">
        <v>691</v>
      </c>
    </row>
    <row r="14" spans="1:8" ht="30" customHeight="1">
      <c r="A14" s="19" t="s">
        <v>686</v>
      </c>
      <c r="B14" s="19" t="s">
        <v>687</v>
      </c>
      <c r="C14" s="20" t="s">
        <v>692</v>
      </c>
      <c r="D14" s="21" t="s">
        <v>693</v>
      </c>
      <c r="E14" s="23">
        <v>3</v>
      </c>
      <c r="F14" s="18" t="s">
        <v>45</v>
      </c>
      <c r="G14" s="21" t="s">
        <v>694</v>
      </c>
      <c r="H14" s="21"/>
    </row>
    <row r="15" spans="1:8" ht="30" customHeight="1">
      <c r="A15" s="14" t="s">
        <v>686</v>
      </c>
      <c r="B15" s="14" t="s">
        <v>687</v>
      </c>
      <c r="C15" s="15" t="s">
        <v>695</v>
      </c>
      <c r="D15" s="16" t="s">
        <v>696</v>
      </c>
      <c r="E15" s="23">
        <v>3</v>
      </c>
      <c r="F15" s="18" t="s">
        <v>45</v>
      </c>
      <c r="G15" s="16" t="s">
        <v>697</v>
      </c>
      <c r="H15" s="16" t="s">
        <v>681</v>
      </c>
    </row>
    <row r="16" spans="1:8" ht="18" customHeight="1">
      <c r="A16" s="13" t="s">
        <v>698</v>
      </c>
      <c r="B16" s="13" t="s">
        <v>699</v>
      </c>
      <c r="C16" s="13"/>
      <c r="D16" s="13"/>
      <c r="E16" s="13"/>
      <c r="F16" s="13"/>
      <c r="G16" s="13"/>
      <c r="H16" s="13"/>
    </row>
    <row r="17" spans="1:8" ht="30" customHeight="1">
      <c r="A17" s="14" t="s">
        <v>698</v>
      </c>
      <c r="B17" s="14" t="s">
        <v>699</v>
      </c>
      <c r="C17" s="15" t="s">
        <v>700</v>
      </c>
      <c r="D17" s="16" t="s">
        <v>701</v>
      </c>
      <c r="E17" s="17">
        <v>2</v>
      </c>
      <c r="F17" s="18" t="s">
        <v>73</v>
      </c>
      <c r="G17" s="16"/>
      <c r="H17" s="16"/>
    </row>
    <row r="18" spans="1:8" ht="30" customHeight="1">
      <c r="A18" s="19" t="s">
        <v>698</v>
      </c>
      <c r="B18" s="19" t="s">
        <v>699</v>
      </c>
      <c r="C18" s="20" t="s">
        <v>702</v>
      </c>
      <c r="D18" s="21" t="s">
        <v>703</v>
      </c>
      <c r="E18" s="23">
        <v>3</v>
      </c>
      <c r="F18" s="18" t="s">
        <v>285</v>
      </c>
      <c r="G18" s="21" t="s">
        <v>704</v>
      </c>
      <c r="H18" s="21" t="s">
        <v>705</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800-000000000000}">
      <formula1>"Not Started,In Progress,Compliant,Not Applicable"</formula1>
      <formula2>0</formula2>
    </dataValidation>
  </dataValidations>
  <hyperlinks>
    <hyperlink ref="H8" r:id="rId1" xr:uid="{065B2495-C1B3-486D-B791-90388592D865}"/>
  </hyperlinks>
  <pageMargins left="0.75" right="0.75" top="1" bottom="1" header="0.51180555555555496" footer="0.51180555555555496"/>
  <pageSetup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zoomScale="75" zoomScaleNormal="75" workbookViewId="0">
      <pane ySplit="1" topLeftCell="A2" activePane="bottomLeft" state="frozen"/>
      <selection pane="bottomLeft" activeCell="G5" sqref="G5"/>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706</v>
      </c>
      <c r="B2" s="13" t="s">
        <v>707</v>
      </c>
      <c r="C2" s="13"/>
      <c r="D2" s="13"/>
      <c r="E2" s="13"/>
      <c r="F2" s="13"/>
      <c r="G2" s="13"/>
      <c r="H2" s="13"/>
    </row>
    <row r="3" spans="1:8" ht="30" customHeight="1">
      <c r="A3" s="14" t="s">
        <v>706</v>
      </c>
      <c r="B3" s="14" t="s">
        <v>707</v>
      </c>
      <c r="C3" s="15" t="s">
        <v>708</v>
      </c>
      <c r="D3" s="16" t="s">
        <v>709</v>
      </c>
      <c r="E3" s="22">
        <v>1</v>
      </c>
      <c r="F3" s="18" t="s">
        <v>45</v>
      </c>
      <c r="G3" s="16" t="s">
        <v>710</v>
      </c>
      <c r="H3" s="16" t="s">
        <v>711</v>
      </c>
    </row>
    <row r="4" spans="1:8" ht="30" customHeight="1">
      <c r="A4" s="19" t="s">
        <v>706</v>
      </c>
      <c r="B4" s="19" t="s">
        <v>707</v>
      </c>
      <c r="C4" s="20" t="s">
        <v>712</v>
      </c>
      <c r="D4" s="21" t="s">
        <v>713</v>
      </c>
      <c r="E4" s="22">
        <v>1</v>
      </c>
      <c r="F4" s="18" t="s">
        <v>45</v>
      </c>
      <c r="G4" s="21" t="s">
        <v>714</v>
      </c>
      <c r="H4" s="21" t="s">
        <v>715</v>
      </c>
    </row>
    <row r="5" spans="1:8" ht="30" customHeight="1">
      <c r="A5" s="14" t="s">
        <v>706</v>
      </c>
      <c r="B5" s="14" t="s">
        <v>707</v>
      </c>
      <c r="C5" s="15" t="s">
        <v>716</v>
      </c>
      <c r="D5" s="16" t="s">
        <v>717</v>
      </c>
      <c r="E5" s="22">
        <v>1</v>
      </c>
      <c r="F5" s="18" t="s">
        <v>45</v>
      </c>
      <c r="G5" s="16" t="s">
        <v>718</v>
      </c>
      <c r="H5" s="16" t="s">
        <v>719</v>
      </c>
    </row>
    <row r="6" spans="1:8" ht="18" customHeight="1">
      <c r="A6" s="13" t="s">
        <v>720</v>
      </c>
      <c r="B6" s="13" t="s">
        <v>721</v>
      </c>
      <c r="C6" s="13"/>
      <c r="D6" s="13"/>
      <c r="E6" s="13"/>
      <c r="F6" s="13"/>
      <c r="G6" s="13"/>
      <c r="H6" s="13"/>
    </row>
    <row r="7" spans="1:8" ht="30" customHeight="1">
      <c r="A7" s="14" t="s">
        <v>720</v>
      </c>
      <c r="B7" s="14" t="s">
        <v>721</v>
      </c>
      <c r="C7" s="15" t="s">
        <v>722</v>
      </c>
      <c r="D7" s="16" t="s">
        <v>723</v>
      </c>
      <c r="E7" s="22">
        <v>1</v>
      </c>
      <c r="F7" s="18" t="s">
        <v>45</v>
      </c>
      <c r="G7" s="16" t="s">
        <v>724</v>
      </c>
      <c r="H7" s="16" t="s">
        <v>711</v>
      </c>
    </row>
    <row r="8" spans="1:8" ht="30" customHeight="1">
      <c r="A8" s="19" t="s">
        <v>720</v>
      </c>
      <c r="B8" s="19" t="s">
        <v>721</v>
      </c>
      <c r="C8" s="20" t="s">
        <v>725</v>
      </c>
      <c r="D8" s="21" t="s">
        <v>726</v>
      </c>
      <c r="E8" s="17">
        <v>2</v>
      </c>
      <c r="F8" s="18" t="s">
        <v>45</v>
      </c>
      <c r="G8" s="21" t="s">
        <v>727</v>
      </c>
      <c r="H8" s="21" t="s">
        <v>728</v>
      </c>
    </row>
    <row r="9" spans="1:8" ht="30" customHeight="1">
      <c r="A9" s="14" t="s">
        <v>720</v>
      </c>
      <c r="B9" s="14" t="s">
        <v>721</v>
      </c>
      <c r="C9" s="15" t="s">
        <v>729</v>
      </c>
      <c r="D9" s="16" t="s">
        <v>730</v>
      </c>
      <c r="E9" s="17">
        <v>2</v>
      </c>
      <c r="F9" s="18" t="s">
        <v>285</v>
      </c>
      <c r="G9" s="16" t="s">
        <v>731</v>
      </c>
      <c r="H9" s="16" t="s">
        <v>715</v>
      </c>
    </row>
    <row r="10" spans="1:8" ht="30" customHeight="1">
      <c r="A10" s="19" t="s">
        <v>720</v>
      </c>
      <c r="B10" s="19" t="s">
        <v>721</v>
      </c>
      <c r="C10" s="20" t="s">
        <v>732</v>
      </c>
      <c r="D10" s="21" t="s">
        <v>733</v>
      </c>
      <c r="E10" s="17">
        <v>2</v>
      </c>
      <c r="F10" s="18" t="s">
        <v>73</v>
      </c>
      <c r="G10" s="21" t="s">
        <v>734</v>
      </c>
      <c r="H10" s="21"/>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9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4"/>
  <sheetViews>
    <sheetView zoomScale="75" zoomScaleNormal="75" workbookViewId="0">
      <pane ySplit="1" topLeftCell="A39" activePane="bottomLeft" state="frozen"/>
      <selection pane="bottomLeft" activeCell="F44" sqref="F44"/>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735</v>
      </c>
      <c r="B2" s="13" t="s">
        <v>736</v>
      </c>
      <c r="C2" s="13"/>
      <c r="D2" s="13"/>
      <c r="E2" s="13"/>
      <c r="F2" s="13"/>
      <c r="G2" s="13"/>
      <c r="H2" s="13"/>
    </row>
    <row r="3" spans="1:8" ht="30" customHeight="1">
      <c r="A3" s="14" t="s">
        <v>735</v>
      </c>
      <c r="B3" s="14" t="s">
        <v>736</v>
      </c>
      <c r="C3" s="15" t="s">
        <v>737</v>
      </c>
      <c r="D3" s="16" t="s">
        <v>738</v>
      </c>
      <c r="E3" s="17">
        <v>2</v>
      </c>
      <c r="F3" s="18" t="s">
        <v>73</v>
      </c>
      <c r="G3" s="16" t="s">
        <v>739</v>
      </c>
      <c r="H3" s="16"/>
    </row>
    <row r="4" spans="1:8" ht="30" customHeight="1">
      <c r="A4" s="19" t="s">
        <v>735</v>
      </c>
      <c r="B4" s="19" t="s">
        <v>736</v>
      </c>
      <c r="C4" s="20" t="s">
        <v>740</v>
      </c>
      <c r="D4" s="21" t="s">
        <v>741</v>
      </c>
      <c r="E4" s="17">
        <v>2</v>
      </c>
      <c r="F4" s="18" t="s">
        <v>73</v>
      </c>
      <c r="G4" s="16" t="s">
        <v>739</v>
      </c>
      <c r="H4" s="21"/>
    </row>
    <row r="5" spans="1:8" ht="18" customHeight="1">
      <c r="A5" s="13" t="s">
        <v>742</v>
      </c>
      <c r="B5" s="13" t="s">
        <v>743</v>
      </c>
      <c r="C5" s="13"/>
      <c r="D5" s="13"/>
      <c r="E5" s="13"/>
      <c r="F5" s="13"/>
      <c r="G5" s="13"/>
      <c r="H5" s="13"/>
    </row>
    <row r="6" spans="1:8" ht="30" customHeight="1">
      <c r="A6" s="14" t="s">
        <v>742</v>
      </c>
      <c r="B6" s="14" t="s">
        <v>743</v>
      </c>
      <c r="C6" s="15" t="s">
        <v>744</v>
      </c>
      <c r="D6" s="16" t="s">
        <v>745</v>
      </c>
      <c r="E6" s="17">
        <v>2</v>
      </c>
      <c r="F6" s="18" t="s">
        <v>73</v>
      </c>
      <c r="G6" s="16" t="s">
        <v>746</v>
      </c>
      <c r="H6" s="16"/>
    </row>
    <row r="7" spans="1:8" ht="30" customHeight="1">
      <c r="A7" s="19" t="s">
        <v>742</v>
      </c>
      <c r="B7" s="19" t="s">
        <v>743</v>
      </c>
      <c r="C7" s="20" t="s">
        <v>747</v>
      </c>
      <c r="D7" s="21" t="s">
        <v>748</v>
      </c>
      <c r="E7" s="17">
        <v>2</v>
      </c>
      <c r="F7" s="18" t="s">
        <v>73</v>
      </c>
      <c r="G7" s="16" t="s">
        <v>746</v>
      </c>
      <c r="H7" s="21"/>
    </row>
    <row r="8" spans="1:8" ht="30" customHeight="1">
      <c r="A8" s="14" t="s">
        <v>742</v>
      </c>
      <c r="B8" s="14" t="s">
        <v>743</v>
      </c>
      <c r="C8" s="15" t="s">
        <v>749</v>
      </c>
      <c r="D8" s="16" t="s">
        <v>750</v>
      </c>
      <c r="E8" s="23">
        <v>3</v>
      </c>
      <c r="F8" s="18" t="s">
        <v>73</v>
      </c>
      <c r="G8" s="16" t="s">
        <v>746</v>
      </c>
      <c r="H8" s="16"/>
    </row>
    <row r="9" spans="1:8" ht="18" customHeight="1">
      <c r="A9" s="13" t="s">
        <v>751</v>
      </c>
      <c r="B9" s="13" t="s">
        <v>752</v>
      </c>
      <c r="C9" s="13"/>
      <c r="D9" s="13"/>
      <c r="E9" s="13"/>
      <c r="F9" s="13"/>
      <c r="G9" s="13"/>
      <c r="H9" s="13"/>
    </row>
    <row r="10" spans="1:8" ht="30" customHeight="1">
      <c r="A10" s="14" t="s">
        <v>751</v>
      </c>
      <c r="B10" s="14" t="s">
        <v>752</v>
      </c>
      <c r="C10" s="15" t="s">
        <v>753</v>
      </c>
      <c r="D10" s="16" t="s">
        <v>754</v>
      </c>
      <c r="E10" s="17">
        <v>2</v>
      </c>
      <c r="F10" s="18" t="s">
        <v>73</v>
      </c>
      <c r="G10" s="16" t="s">
        <v>746</v>
      </c>
      <c r="H10" s="16"/>
    </row>
    <row r="11" spans="1:8" ht="30" customHeight="1">
      <c r="A11" s="19" t="s">
        <v>751</v>
      </c>
      <c r="B11" s="19" t="s">
        <v>752</v>
      </c>
      <c r="C11" s="20" t="s">
        <v>755</v>
      </c>
      <c r="D11" s="21" t="s">
        <v>756</v>
      </c>
      <c r="E11" s="17">
        <v>2</v>
      </c>
      <c r="F11" s="18" t="s">
        <v>73</v>
      </c>
      <c r="G11" s="16" t="s">
        <v>746</v>
      </c>
      <c r="H11" s="21"/>
    </row>
    <row r="12" spans="1:8" ht="30" customHeight="1">
      <c r="A12" s="14" t="s">
        <v>751</v>
      </c>
      <c r="B12" s="14" t="s">
        <v>752</v>
      </c>
      <c r="C12" s="15" t="s">
        <v>757</v>
      </c>
      <c r="D12" s="16" t="s">
        <v>758</v>
      </c>
      <c r="E12" s="17">
        <v>2</v>
      </c>
      <c r="F12" s="18" t="s">
        <v>73</v>
      </c>
      <c r="G12" s="16" t="s">
        <v>746</v>
      </c>
      <c r="H12" s="16"/>
    </row>
    <row r="13" spans="1:8" ht="30" customHeight="1">
      <c r="A13" s="19" t="s">
        <v>751</v>
      </c>
      <c r="B13" s="19" t="s">
        <v>752</v>
      </c>
      <c r="C13" s="20" t="s">
        <v>759</v>
      </c>
      <c r="D13" s="21" t="s">
        <v>760</v>
      </c>
      <c r="E13" s="17">
        <v>2</v>
      </c>
      <c r="F13" s="18" t="s">
        <v>73</v>
      </c>
      <c r="G13" s="16" t="s">
        <v>746</v>
      </c>
      <c r="H13" s="21"/>
    </row>
    <row r="14" spans="1:8" ht="30" customHeight="1">
      <c r="A14" s="14" t="s">
        <v>751</v>
      </c>
      <c r="B14" s="14" t="s">
        <v>752</v>
      </c>
      <c r="C14" s="15" t="s">
        <v>761</v>
      </c>
      <c r="D14" s="16" t="s">
        <v>762</v>
      </c>
      <c r="E14" s="23">
        <v>3</v>
      </c>
      <c r="F14" s="18" t="s">
        <v>73</v>
      </c>
      <c r="G14" s="16" t="s">
        <v>746</v>
      </c>
      <c r="H14" s="16"/>
    </row>
    <row r="15" spans="1:8" ht="18" customHeight="1">
      <c r="A15" s="13" t="s">
        <v>763</v>
      </c>
      <c r="B15" s="13" t="s">
        <v>764</v>
      </c>
      <c r="C15" s="13"/>
      <c r="D15" s="13"/>
      <c r="E15" s="13"/>
      <c r="F15" s="13"/>
      <c r="G15" s="13"/>
      <c r="H15" s="13"/>
    </row>
    <row r="16" spans="1:8" ht="30" customHeight="1">
      <c r="A16" s="14" t="s">
        <v>763</v>
      </c>
      <c r="B16" s="14" t="s">
        <v>764</v>
      </c>
      <c r="C16" s="15" t="s">
        <v>765</v>
      </c>
      <c r="D16" s="16" t="s">
        <v>766</v>
      </c>
      <c r="E16" s="22">
        <v>1</v>
      </c>
      <c r="F16" s="18" t="s">
        <v>73</v>
      </c>
      <c r="G16" s="16" t="s">
        <v>746</v>
      </c>
      <c r="H16" s="16"/>
    </row>
    <row r="17" spans="1:8" ht="30" customHeight="1">
      <c r="A17" s="19" t="s">
        <v>763</v>
      </c>
      <c r="B17" s="19" t="s">
        <v>764</v>
      </c>
      <c r="C17" s="20" t="s">
        <v>767</v>
      </c>
      <c r="D17" s="21" t="s">
        <v>768</v>
      </c>
      <c r="E17" s="22">
        <v>1</v>
      </c>
      <c r="F17" s="18" t="s">
        <v>73</v>
      </c>
      <c r="G17" s="16" t="s">
        <v>746</v>
      </c>
      <c r="H17" s="21"/>
    </row>
    <row r="18" spans="1:8" ht="30" customHeight="1">
      <c r="A18" s="14" t="s">
        <v>763</v>
      </c>
      <c r="B18" s="14" t="s">
        <v>764</v>
      </c>
      <c r="C18" s="15" t="s">
        <v>769</v>
      </c>
      <c r="D18" s="16" t="s">
        <v>770</v>
      </c>
      <c r="E18" s="22">
        <v>1</v>
      </c>
      <c r="F18" s="18" t="s">
        <v>73</v>
      </c>
      <c r="G18" s="16" t="s">
        <v>746</v>
      </c>
      <c r="H18" s="16"/>
    </row>
    <row r="19" spans="1:8" ht="30" customHeight="1">
      <c r="A19" s="19" t="s">
        <v>763</v>
      </c>
      <c r="B19" s="19" t="s">
        <v>764</v>
      </c>
      <c r="C19" s="20" t="s">
        <v>771</v>
      </c>
      <c r="D19" s="21" t="s">
        <v>772</v>
      </c>
      <c r="E19" s="22">
        <v>1</v>
      </c>
      <c r="F19" s="18" t="s">
        <v>73</v>
      </c>
      <c r="G19" s="16" t="s">
        <v>746</v>
      </c>
      <c r="H19" s="21"/>
    </row>
    <row r="20" spans="1:8" ht="30" customHeight="1">
      <c r="A20" s="14" t="s">
        <v>763</v>
      </c>
      <c r="B20" s="14" t="s">
        <v>764</v>
      </c>
      <c r="C20" s="15" t="s">
        <v>773</v>
      </c>
      <c r="D20" s="16" t="s">
        <v>774</v>
      </c>
      <c r="E20" s="22">
        <v>1</v>
      </c>
      <c r="F20" s="18" t="s">
        <v>73</v>
      </c>
      <c r="G20" s="16" t="s">
        <v>746</v>
      </c>
      <c r="H20" s="16"/>
    </row>
    <row r="21" spans="1:8" ht="30" customHeight="1">
      <c r="A21" s="19" t="s">
        <v>763</v>
      </c>
      <c r="B21" s="19" t="s">
        <v>764</v>
      </c>
      <c r="C21" s="20" t="s">
        <v>775</v>
      </c>
      <c r="D21" s="21" t="s">
        <v>776</v>
      </c>
      <c r="E21" s="17">
        <v>2</v>
      </c>
      <c r="F21" s="18" t="s">
        <v>73</v>
      </c>
      <c r="G21" s="16" t="s">
        <v>746</v>
      </c>
      <c r="H21" s="21"/>
    </row>
    <row r="22" spans="1:8" ht="30" customHeight="1">
      <c r="A22" s="14" t="s">
        <v>763</v>
      </c>
      <c r="B22" s="14" t="s">
        <v>764</v>
      </c>
      <c r="C22" s="15" t="s">
        <v>777</v>
      </c>
      <c r="D22" s="16" t="s">
        <v>778</v>
      </c>
      <c r="E22" s="17">
        <v>2</v>
      </c>
      <c r="F22" s="18" t="s">
        <v>73</v>
      </c>
      <c r="G22" s="16" t="s">
        <v>746</v>
      </c>
      <c r="H22" s="16"/>
    </row>
    <row r="23" spans="1:8" ht="30" customHeight="1">
      <c r="A23" s="19" t="s">
        <v>763</v>
      </c>
      <c r="B23" s="19" t="s">
        <v>764</v>
      </c>
      <c r="C23" s="20" t="s">
        <v>779</v>
      </c>
      <c r="D23" s="21" t="s">
        <v>780</v>
      </c>
      <c r="E23" s="17">
        <v>2</v>
      </c>
      <c r="F23" s="18" t="s">
        <v>73</v>
      </c>
      <c r="G23" s="16" t="s">
        <v>746</v>
      </c>
      <c r="H23" s="21"/>
    </row>
    <row r="24" spans="1:8" ht="30" customHeight="1">
      <c r="A24" s="14" t="s">
        <v>763</v>
      </c>
      <c r="B24" s="14" t="s">
        <v>764</v>
      </c>
      <c r="C24" s="15" t="s">
        <v>781</v>
      </c>
      <c r="D24" s="16" t="s">
        <v>782</v>
      </c>
      <c r="E24" s="17">
        <v>2</v>
      </c>
      <c r="F24" s="18" t="s">
        <v>73</v>
      </c>
      <c r="G24" s="16" t="s">
        <v>746</v>
      </c>
      <c r="H24" s="16"/>
    </row>
    <row r="25" spans="1:8" ht="30" customHeight="1">
      <c r="A25" s="19" t="s">
        <v>763</v>
      </c>
      <c r="B25" s="19" t="s">
        <v>764</v>
      </c>
      <c r="C25" s="20" t="s">
        <v>783</v>
      </c>
      <c r="D25" s="21" t="s">
        <v>784</v>
      </c>
      <c r="E25" s="17">
        <v>2</v>
      </c>
      <c r="F25" s="18" t="s">
        <v>73</v>
      </c>
      <c r="G25" s="16" t="s">
        <v>746</v>
      </c>
      <c r="H25" s="21"/>
    </row>
    <row r="26" spans="1:8" ht="30" customHeight="1">
      <c r="A26" s="14" t="s">
        <v>763</v>
      </c>
      <c r="B26" s="14" t="s">
        <v>764</v>
      </c>
      <c r="C26" s="15" t="s">
        <v>785</v>
      </c>
      <c r="D26" s="16" t="s">
        <v>786</v>
      </c>
      <c r="E26" s="17">
        <v>2</v>
      </c>
      <c r="F26" s="18" t="s">
        <v>73</v>
      </c>
      <c r="G26" s="16" t="s">
        <v>746</v>
      </c>
      <c r="H26" s="16"/>
    </row>
    <row r="27" spans="1:8" ht="30" customHeight="1">
      <c r="A27" s="19" t="s">
        <v>763</v>
      </c>
      <c r="B27" s="19" t="s">
        <v>764</v>
      </c>
      <c r="C27" s="20" t="s">
        <v>787</v>
      </c>
      <c r="D27" s="21" t="s">
        <v>788</v>
      </c>
      <c r="E27" s="23">
        <v>3</v>
      </c>
      <c r="F27" s="18" t="s">
        <v>73</v>
      </c>
      <c r="G27" s="16" t="s">
        <v>746</v>
      </c>
      <c r="H27" s="21"/>
    </row>
    <row r="28" spans="1:8" ht="30" customHeight="1">
      <c r="A28" s="14" t="s">
        <v>763</v>
      </c>
      <c r="B28" s="14" t="s">
        <v>764</v>
      </c>
      <c r="C28" s="15" t="s">
        <v>789</v>
      </c>
      <c r="D28" s="16" t="s">
        <v>790</v>
      </c>
      <c r="E28" s="23">
        <v>3</v>
      </c>
      <c r="F28" s="18" t="s">
        <v>73</v>
      </c>
      <c r="G28" s="16" t="s">
        <v>746</v>
      </c>
      <c r="H28" s="16"/>
    </row>
    <row r="29" spans="1:8" ht="30" customHeight="1">
      <c r="A29" s="19" t="s">
        <v>763</v>
      </c>
      <c r="B29" s="19" t="s">
        <v>764</v>
      </c>
      <c r="C29" s="20" t="s">
        <v>791</v>
      </c>
      <c r="D29" s="21" t="s">
        <v>792</v>
      </c>
      <c r="E29" s="23">
        <v>3</v>
      </c>
      <c r="F29" s="18" t="s">
        <v>73</v>
      </c>
      <c r="G29" s="16" t="s">
        <v>746</v>
      </c>
      <c r="H29" s="21"/>
    </row>
    <row r="30" spans="1:8" ht="30" customHeight="1">
      <c r="A30" s="14" t="s">
        <v>763</v>
      </c>
      <c r="B30" s="14" t="s">
        <v>764</v>
      </c>
      <c r="C30" s="15" t="s">
        <v>793</v>
      </c>
      <c r="D30" s="16" t="s">
        <v>794</v>
      </c>
      <c r="E30" s="23">
        <v>3</v>
      </c>
      <c r="F30" s="18" t="s">
        <v>73</v>
      </c>
      <c r="G30" s="16" t="s">
        <v>746</v>
      </c>
      <c r="H30" s="16"/>
    </row>
    <row r="31" spans="1:8" ht="30" customHeight="1">
      <c r="A31" s="19" t="s">
        <v>763</v>
      </c>
      <c r="B31" s="19" t="s">
        <v>764</v>
      </c>
      <c r="C31" s="20" t="s">
        <v>795</v>
      </c>
      <c r="D31" s="21" t="s">
        <v>796</v>
      </c>
      <c r="E31" s="23">
        <v>3</v>
      </c>
      <c r="F31" s="18" t="s">
        <v>73</v>
      </c>
      <c r="G31" s="16" t="s">
        <v>746</v>
      </c>
      <c r="H31" s="21"/>
    </row>
    <row r="32" spans="1:8" ht="18" customHeight="1">
      <c r="A32" s="13" t="s">
        <v>797</v>
      </c>
      <c r="B32" s="13" t="s">
        <v>798</v>
      </c>
      <c r="C32" s="13"/>
      <c r="D32" s="13"/>
      <c r="E32" s="13"/>
      <c r="F32" s="13"/>
      <c r="G32" s="13"/>
      <c r="H32" s="13"/>
    </row>
    <row r="33" spans="1:8" ht="30" customHeight="1">
      <c r="A33" s="14" t="s">
        <v>797</v>
      </c>
      <c r="B33" s="14" t="s">
        <v>798</v>
      </c>
      <c r="C33" s="15" t="s">
        <v>799</v>
      </c>
      <c r="D33" s="16" t="s">
        <v>800</v>
      </c>
      <c r="E33" s="17">
        <v>2</v>
      </c>
      <c r="F33" s="18" t="s">
        <v>73</v>
      </c>
      <c r="G33" s="16" t="s">
        <v>746</v>
      </c>
      <c r="H33" s="16"/>
    </row>
    <row r="34" spans="1:8" ht="30" customHeight="1">
      <c r="A34" s="19" t="s">
        <v>797</v>
      </c>
      <c r="B34" s="19" t="s">
        <v>798</v>
      </c>
      <c r="C34" s="20" t="s">
        <v>801</v>
      </c>
      <c r="D34" s="21" t="s">
        <v>802</v>
      </c>
      <c r="E34" s="17">
        <v>2</v>
      </c>
      <c r="F34" s="18" t="s">
        <v>73</v>
      </c>
      <c r="G34" s="16" t="s">
        <v>746</v>
      </c>
      <c r="H34" s="21"/>
    </row>
    <row r="35" spans="1:8" ht="30" customHeight="1">
      <c r="A35" s="14" t="s">
        <v>797</v>
      </c>
      <c r="B35" s="14" t="s">
        <v>798</v>
      </c>
      <c r="C35" s="15" t="s">
        <v>803</v>
      </c>
      <c r="D35" s="16" t="s">
        <v>804</v>
      </c>
      <c r="E35" s="17">
        <v>2</v>
      </c>
      <c r="F35" s="18" t="s">
        <v>73</v>
      </c>
      <c r="G35" s="16" t="s">
        <v>746</v>
      </c>
      <c r="H35" s="16"/>
    </row>
    <row r="36" spans="1:8" ht="30" customHeight="1">
      <c r="A36" s="19" t="s">
        <v>797</v>
      </c>
      <c r="B36" s="19" t="s">
        <v>798</v>
      </c>
      <c r="C36" s="20" t="s">
        <v>805</v>
      </c>
      <c r="D36" s="21" t="s">
        <v>806</v>
      </c>
      <c r="E36" s="17">
        <v>2</v>
      </c>
      <c r="F36" s="18" t="s">
        <v>73</v>
      </c>
      <c r="G36" s="16" t="s">
        <v>746</v>
      </c>
      <c r="H36" s="21"/>
    </row>
    <row r="37" spans="1:8" ht="30" customHeight="1">
      <c r="A37" s="14" t="s">
        <v>797</v>
      </c>
      <c r="B37" s="14" t="s">
        <v>798</v>
      </c>
      <c r="C37" s="15" t="s">
        <v>807</v>
      </c>
      <c r="D37" s="16" t="s">
        <v>808</v>
      </c>
      <c r="E37" s="17">
        <v>2</v>
      </c>
      <c r="F37" s="18" t="s">
        <v>73</v>
      </c>
      <c r="G37" s="16" t="s">
        <v>746</v>
      </c>
      <c r="H37" s="16"/>
    </row>
    <row r="38" spans="1:8" ht="18" customHeight="1">
      <c r="A38" s="13" t="s">
        <v>809</v>
      </c>
      <c r="B38" s="13" t="s">
        <v>810</v>
      </c>
      <c r="C38" s="13"/>
      <c r="D38" s="13"/>
      <c r="E38" s="13"/>
      <c r="F38" s="13"/>
      <c r="G38" s="13"/>
      <c r="H38" s="13"/>
    </row>
    <row r="39" spans="1:8" ht="30" customHeight="1">
      <c r="A39" s="14" t="s">
        <v>809</v>
      </c>
      <c r="B39" s="14" t="s">
        <v>810</v>
      </c>
      <c r="C39" s="15" t="s">
        <v>811</v>
      </c>
      <c r="D39" s="16" t="s">
        <v>812</v>
      </c>
      <c r="E39" s="17">
        <v>2</v>
      </c>
      <c r="F39" s="18" t="s">
        <v>73</v>
      </c>
      <c r="G39" s="16" t="s">
        <v>746</v>
      </c>
      <c r="H39" s="16"/>
    </row>
    <row r="40" spans="1:8" ht="30" customHeight="1">
      <c r="A40" s="19" t="s">
        <v>809</v>
      </c>
      <c r="B40" s="19" t="s">
        <v>810</v>
      </c>
      <c r="C40" s="20" t="s">
        <v>813</v>
      </c>
      <c r="D40" s="21" t="s">
        <v>814</v>
      </c>
      <c r="E40" s="17">
        <v>2</v>
      </c>
      <c r="F40" s="18" t="s">
        <v>73</v>
      </c>
      <c r="G40" s="16" t="s">
        <v>746</v>
      </c>
      <c r="H40" s="21"/>
    </row>
    <row r="41" spans="1:8" ht="18" customHeight="1">
      <c r="A41" s="13" t="s">
        <v>815</v>
      </c>
      <c r="B41" s="13" t="s">
        <v>816</v>
      </c>
      <c r="C41" s="13"/>
      <c r="D41" s="13"/>
      <c r="E41" s="13"/>
      <c r="F41" s="13"/>
      <c r="G41" s="13"/>
      <c r="H41" s="13"/>
    </row>
    <row r="42" spans="1:8" ht="30" customHeight="1">
      <c r="A42" s="14" t="s">
        <v>815</v>
      </c>
      <c r="B42" s="14" t="s">
        <v>816</v>
      </c>
      <c r="C42" s="15" t="s">
        <v>817</v>
      </c>
      <c r="D42" s="16" t="s">
        <v>818</v>
      </c>
      <c r="E42" s="17">
        <v>2</v>
      </c>
      <c r="F42" s="18" t="s">
        <v>73</v>
      </c>
      <c r="G42" s="16" t="s">
        <v>746</v>
      </c>
      <c r="H42" s="16"/>
    </row>
    <row r="43" spans="1:8" ht="30" customHeight="1">
      <c r="A43" s="19" t="s">
        <v>815</v>
      </c>
      <c r="B43" s="19" t="s">
        <v>816</v>
      </c>
      <c r="C43" s="20" t="s">
        <v>819</v>
      </c>
      <c r="D43" s="21" t="s">
        <v>820</v>
      </c>
      <c r="E43" s="17">
        <v>2</v>
      </c>
      <c r="F43" s="18" t="s">
        <v>73</v>
      </c>
      <c r="G43" s="16" t="s">
        <v>746</v>
      </c>
      <c r="H43" s="21"/>
    </row>
    <row r="44" spans="1:8" ht="30" customHeight="1">
      <c r="A44" s="14" t="s">
        <v>815</v>
      </c>
      <c r="B44" s="14" t="s">
        <v>816</v>
      </c>
      <c r="C44" s="15" t="s">
        <v>821</v>
      </c>
      <c r="D44" s="16" t="s">
        <v>822</v>
      </c>
      <c r="E44" s="17">
        <v>2</v>
      </c>
      <c r="F44" s="18" t="s">
        <v>73</v>
      </c>
      <c r="G44" s="16" t="s">
        <v>746</v>
      </c>
      <c r="H44" s="16"/>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xr:uid="{00000000-0002-0000-0A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2"/>
  <sheetViews>
    <sheetView zoomScale="75" zoomScaleNormal="75" workbookViewId="0">
      <pane ySplit="1" topLeftCell="A15" activePane="bottomLeft" state="frozen"/>
      <selection pane="bottomLeft" activeCell="F16" sqref="F16"/>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823</v>
      </c>
      <c r="B2" s="13" t="s">
        <v>824</v>
      </c>
      <c r="C2" s="13"/>
      <c r="D2" s="13"/>
      <c r="E2" s="13"/>
      <c r="F2" s="13"/>
      <c r="G2" s="13"/>
      <c r="H2" s="13"/>
    </row>
    <row r="3" spans="1:8" ht="30" customHeight="1">
      <c r="A3" s="14" t="s">
        <v>823</v>
      </c>
      <c r="B3" s="14" t="s">
        <v>824</v>
      </c>
      <c r="C3" s="15" t="s">
        <v>825</v>
      </c>
      <c r="D3" s="16" t="s">
        <v>826</v>
      </c>
      <c r="E3" s="17">
        <v>2</v>
      </c>
      <c r="F3" s="18" t="s">
        <v>58</v>
      </c>
      <c r="G3" s="16"/>
      <c r="H3" s="16"/>
    </row>
    <row r="4" spans="1:8" ht="30" customHeight="1">
      <c r="A4" s="19" t="s">
        <v>823</v>
      </c>
      <c r="B4" s="19" t="s">
        <v>824</v>
      </c>
      <c r="C4" s="20" t="s">
        <v>827</v>
      </c>
      <c r="D4" s="21" t="s">
        <v>828</v>
      </c>
      <c r="E4" s="17">
        <v>2</v>
      </c>
      <c r="F4" s="18" t="s">
        <v>58</v>
      </c>
      <c r="G4" s="21"/>
      <c r="H4" s="21"/>
    </row>
    <row r="5" spans="1:8" ht="30" customHeight="1">
      <c r="A5" s="14" t="s">
        <v>823</v>
      </c>
      <c r="B5" s="14" t="s">
        <v>824</v>
      </c>
      <c r="C5" s="15" t="s">
        <v>829</v>
      </c>
      <c r="D5" s="16" t="s">
        <v>830</v>
      </c>
      <c r="E5" s="23">
        <v>3</v>
      </c>
      <c r="F5" s="18" t="s">
        <v>73</v>
      </c>
      <c r="G5" s="16"/>
      <c r="H5" s="16"/>
    </row>
    <row r="6" spans="1:8" ht="30" customHeight="1">
      <c r="A6" s="19" t="s">
        <v>823</v>
      </c>
      <c r="B6" s="19" t="s">
        <v>824</v>
      </c>
      <c r="C6" s="20" t="s">
        <v>831</v>
      </c>
      <c r="D6" s="21" t="s">
        <v>832</v>
      </c>
      <c r="E6" s="23">
        <v>3</v>
      </c>
      <c r="F6" s="18" t="s">
        <v>73</v>
      </c>
      <c r="G6" s="21"/>
      <c r="H6" s="21"/>
    </row>
    <row r="7" spans="1:8" ht="18" customHeight="1">
      <c r="A7" s="13" t="s">
        <v>833</v>
      </c>
      <c r="B7" s="13" t="s">
        <v>834</v>
      </c>
      <c r="C7" s="13"/>
      <c r="D7" s="13"/>
      <c r="E7" s="13"/>
      <c r="F7" s="13"/>
      <c r="G7" s="13"/>
      <c r="H7" s="13"/>
    </row>
    <row r="8" spans="1:8" ht="30" customHeight="1">
      <c r="A8" s="14" t="s">
        <v>833</v>
      </c>
      <c r="B8" s="14" t="s">
        <v>834</v>
      </c>
      <c r="C8" s="15" t="s">
        <v>835</v>
      </c>
      <c r="D8" s="16" t="s">
        <v>836</v>
      </c>
      <c r="E8" s="17">
        <v>2</v>
      </c>
      <c r="F8" s="18" t="s">
        <v>45</v>
      </c>
      <c r="G8" s="16" t="s">
        <v>837</v>
      </c>
      <c r="H8" s="36" t="s">
        <v>838</v>
      </c>
    </row>
    <row r="9" spans="1:8" ht="30" customHeight="1">
      <c r="A9" s="19" t="s">
        <v>833</v>
      </c>
      <c r="B9" s="19" t="s">
        <v>834</v>
      </c>
      <c r="C9" s="20" t="s">
        <v>839</v>
      </c>
      <c r="D9" s="21" t="s">
        <v>840</v>
      </c>
      <c r="E9" s="17">
        <v>2</v>
      </c>
      <c r="F9" s="18" t="s">
        <v>45</v>
      </c>
      <c r="G9" s="21" t="s">
        <v>841</v>
      </c>
      <c r="H9" s="37" t="s">
        <v>842</v>
      </c>
    </row>
    <row r="10" spans="1:8" ht="30" customHeight="1">
      <c r="A10" s="14" t="s">
        <v>833</v>
      </c>
      <c r="B10" s="14" t="s">
        <v>834</v>
      </c>
      <c r="C10" s="15" t="s">
        <v>843</v>
      </c>
      <c r="D10" s="16" t="s">
        <v>844</v>
      </c>
      <c r="E10" s="17">
        <v>2</v>
      </c>
      <c r="F10" s="18" t="s">
        <v>73</v>
      </c>
      <c r="G10" s="16"/>
      <c r="H10" s="16"/>
    </row>
    <row r="11" spans="1:8" ht="30" customHeight="1">
      <c r="A11" s="19" t="s">
        <v>833</v>
      </c>
      <c r="B11" s="19" t="s">
        <v>834</v>
      </c>
      <c r="C11" s="20" t="s">
        <v>845</v>
      </c>
      <c r="D11" s="21" t="s">
        <v>846</v>
      </c>
      <c r="E11" s="23">
        <v>3</v>
      </c>
      <c r="F11" s="18" t="s">
        <v>73</v>
      </c>
      <c r="G11" s="21"/>
      <c r="H11" s="21"/>
    </row>
    <row r="12" spans="1:8" ht="30" customHeight="1">
      <c r="A12" s="14" t="s">
        <v>833</v>
      </c>
      <c r="B12" s="14" t="s">
        <v>834</v>
      </c>
      <c r="C12" s="15" t="s">
        <v>847</v>
      </c>
      <c r="D12" s="16" t="s">
        <v>848</v>
      </c>
      <c r="E12" s="23">
        <v>3</v>
      </c>
      <c r="F12" s="18" t="s">
        <v>73</v>
      </c>
      <c r="G12" s="16"/>
      <c r="H12" s="16"/>
    </row>
    <row r="13" spans="1:8" ht="18" customHeight="1">
      <c r="A13" s="13" t="s">
        <v>849</v>
      </c>
      <c r="B13" s="13" t="s">
        <v>850</v>
      </c>
      <c r="C13" s="13"/>
      <c r="D13" s="13"/>
      <c r="E13" s="13"/>
      <c r="F13" s="13"/>
      <c r="G13" s="13"/>
      <c r="H13" s="13"/>
    </row>
    <row r="14" spans="1:8" ht="30" customHeight="1">
      <c r="A14" s="14" t="s">
        <v>849</v>
      </c>
      <c r="B14" s="14" t="s">
        <v>850</v>
      </c>
      <c r="C14" s="15" t="s">
        <v>851</v>
      </c>
      <c r="D14" s="16" t="s">
        <v>852</v>
      </c>
      <c r="E14" s="22">
        <v>1</v>
      </c>
      <c r="F14" s="18" t="s">
        <v>45</v>
      </c>
      <c r="G14" s="16" t="s">
        <v>853</v>
      </c>
      <c r="H14" s="16" t="s">
        <v>854</v>
      </c>
    </row>
    <row r="15" spans="1:8" ht="30" customHeight="1">
      <c r="A15" s="19" t="s">
        <v>849</v>
      </c>
      <c r="B15" s="19" t="s">
        <v>850</v>
      </c>
      <c r="C15" s="20" t="s">
        <v>855</v>
      </c>
      <c r="D15" s="21" t="s">
        <v>856</v>
      </c>
      <c r="E15" s="22">
        <v>1</v>
      </c>
      <c r="F15" s="18" t="s">
        <v>45</v>
      </c>
      <c r="G15" s="21" t="s">
        <v>857</v>
      </c>
      <c r="H15" s="21" t="s">
        <v>854</v>
      </c>
    </row>
    <row r="16" spans="1:8" ht="30" customHeight="1">
      <c r="A16" s="14" t="s">
        <v>849</v>
      </c>
      <c r="B16" s="14" t="s">
        <v>850</v>
      </c>
      <c r="C16" s="15" t="s">
        <v>858</v>
      </c>
      <c r="D16" s="16" t="s">
        <v>859</v>
      </c>
      <c r="E16" s="17">
        <v>2</v>
      </c>
      <c r="F16" s="18" t="s">
        <v>45</v>
      </c>
      <c r="G16" s="16" t="s">
        <v>860</v>
      </c>
      <c r="H16" s="36" t="s">
        <v>611</v>
      </c>
    </row>
    <row r="17" spans="1:8" ht="30" customHeight="1">
      <c r="A17" s="19" t="s">
        <v>849</v>
      </c>
      <c r="B17" s="19" t="s">
        <v>850</v>
      </c>
      <c r="C17" s="20" t="s">
        <v>861</v>
      </c>
      <c r="D17" s="21" t="s">
        <v>862</v>
      </c>
      <c r="E17" s="23">
        <v>3</v>
      </c>
      <c r="F17" s="18" t="s">
        <v>73</v>
      </c>
      <c r="G17" s="21"/>
      <c r="H17" s="21"/>
    </row>
    <row r="18" spans="1:8" ht="30" customHeight="1">
      <c r="A18" s="14" t="s">
        <v>849</v>
      </c>
      <c r="B18" s="14" t="s">
        <v>850</v>
      </c>
      <c r="C18" s="15" t="s">
        <v>863</v>
      </c>
      <c r="D18" s="16" t="s">
        <v>864</v>
      </c>
      <c r="E18" s="23">
        <v>3</v>
      </c>
      <c r="F18" s="18" t="s">
        <v>73</v>
      </c>
      <c r="G18" s="16"/>
      <c r="H18" s="16"/>
    </row>
    <row r="19" spans="1:8" ht="18" customHeight="1">
      <c r="A19" s="13" t="s">
        <v>865</v>
      </c>
      <c r="B19" s="13" t="s">
        <v>866</v>
      </c>
      <c r="C19" s="13"/>
      <c r="D19" s="13"/>
      <c r="E19" s="13"/>
      <c r="F19" s="13"/>
      <c r="G19" s="13"/>
      <c r="H19" s="13"/>
    </row>
    <row r="20" spans="1:8" ht="30" customHeight="1">
      <c r="A20" s="14" t="s">
        <v>865</v>
      </c>
      <c r="B20" s="14" t="s">
        <v>866</v>
      </c>
      <c r="C20" s="15" t="s">
        <v>867</v>
      </c>
      <c r="D20" s="16" t="s">
        <v>868</v>
      </c>
      <c r="E20" s="22">
        <v>1</v>
      </c>
      <c r="F20" s="18" t="s">
        <v>45</v>
      </c>
      <c r="G20" s="16" t="s">
        <v>869</v>
      </c>
      <c r="H20" s="16"/>
    </row>
    <row r="21" spans="1:8" ht="30" customHeight="1">
      <c r="A21" s="19" t="s">
        <v>865</v>
      </c>
      <c r="B21" s="19" t="s">
        <v>866</v>
      </c>
      <c r="C21" s="20" t="s">
        <v>870</v>
      </c>
      <c r="D21" s="21" t="s">
        <v>871</v>
      </c>
      <c r="E21" s="17">
        <v>2</v>
      </c>
      <c r="F21" s="18" t="s">
        <v>45</v>
      </c>
      <c r="G21" s="21" t="s">
        <v>872</v>
      </c>
      <c r="H21" s="21" t="s">
        <v>873</v>
      </c>
    </row>
    <row r="22" spans="1:8" ht="30" customHeight="1">
      <c r="A22" s="14" t="s">
        <v>865</v>
      </c>
      <c r="B22" s="14" t="s">
        <v>866</v>
      </c>
      <c r="C22" s="15" t="s">
        <v>874</v>
      </c>
      <c r="D22" s="16" t="s">
        <v>875</v>
      </c>
      <c r="E22" s="17">
        <v>2</v>
      </c>
      <c r="F22" s="18" t="s">
        <v>45</v>
      </c>
      <c r="G22" s="16" t="s">
        <v>876</v>
      </c>
      <c r="H22" s="16" t="s">
        <v>715</v>
      </c>
    </row>
    <row r="23" spans="1:8" ht="30" customHeight="1">
      <c r="A23" s="19" t="s">
        <v>865</v>
      </c>
      <c r="B23" s="19" t="s">
        <v>866</v>
      </c>
      <c r="C23" s="20" t="s">
        <v>877</v>
      </c>
      <c r="D23" s="21" t="s">
        <v>878</v>
      </c>
      <c r="E23" s="17">
        <v>2</v>
      </c>
      <c r="F23" s="18" t="s">
        <v>58</v>
      </c>
      <c r="G23" s="21"/>
      <c r="H23" s="21"/>
    </row>
    <row r="24" spans="1:8" ht="18" customHeight="1">
      <c r="A24" s="13" t="s">
        <v>879</v>
      </c>
      <c r="B24" s="13" t="s">
        <v>880</v>
      </c>
      <c r="C24" s="13"/>
      <c r="D24" s="13"/>
      <c r="E24" s="13"/>
      <c r="F24" s="13"/>
      <c r="G24" s="13"/>
      <c r="H24" s="13"/>
    </row>
    <row r="25" spans="1:8" ht="30" customHeight="1">
      <c r="A25" s="14" t="s">
        <v>879</v>
      </c>
      <c r="B25" s="14" t="s">
        <v>880</v>
      </c>
      <c r="C25" s="15" t="s">
        <v>881</v>
      </c>
      <c r="D25" s="16" t="s">
        <v>882</v>
      </c>
      <c r="E25" s="17">
        <v>2</v>
      </c>
      <c r="F25" s="18" t="s">
        <v>45</v>
      </c>
      <c r="G25" s="16" t="s">
        <v>883</v>
      </c>
      <c r="H25" s="36" t="s">
        <v>884</v>
      </c>
    </row>
    <row r="26" spans="1:8" ht="30" customHeight="1">
      <c r="A26" s="19" t="s">
        <v>879</v>
      </c>
      <c r="B26" s="19" t="s">
        <v>880</v>
      </c>
      <c r="C26" s="20" t="s">
        <v>885</v>
      </c>
      <c r="D26" s="21" t="s">
        <v>886</v>
      </c>
      <c r="E26" s="23">
        <v>3</v>
      </c>
      <c r="F26" s="18" t="s">
        <v>73</v>
      </c>
      <c r="G26" s="21"/>
      <c r="H26" s="21"/>
    </row>
    <row r="27" spans="1:8" ht="18" customHeight="1">
      <c r="A27" s="13" t="s">
        <v>887</v>
      </c>
      <c r="B27" s="13" t="s">
        <v>888</v>
      </c>
      <c r="C27" s="13"/>
      <c r="D27" s="13"/>
      <c r="E27" s="13"/>
      <c r="F27" s="13"/>
      <c r="G27" s="13"/>
      <c r="H27" s="13"/>
    </row>
    <row r="28" spans="1:8" ht="30" customHeight="1">
      <c r="A28" s="14" t="s">
        <v>887</v>
      </c>
      <c r="B28" s="14" t="s">
        <v>888</v>
      </c>
      <c r="C28" s="15" t="s">
        <v>889</v>
      </c>
      <c r="D28" s="16" t="s">
        <v>890</v>
      </c>
      <c r="E28" s="17">
        <v>2</v>
      </c>
      <c r="F28" s="18" t="s">
        <v>45</v>
      </c>
      <c r="G28" s="16" t="s">
        <v>891</v>
      </c>
      <c r="H28" s="36" t="s">
        <v>884</v>
      </c>
    </row>
    <row r="29" spans="1:8" ht="30" customHeight="1">
      <c r="A29" s="19" t="s">
        <v>887</v>
      </c>
      <c r="B29" s="19" t="s">
        <v>888</v>
      </c>
      <c r="C29" s="20" t="s">
        <v>892</v>
      </c>
      <c r="D29" s="21" t="s">
        <v>893</v>
      </c>
      <c r="E29" s="23">
        <v>3</v>
      </c>
      <c r="F29" s="18" t="s">
        <v>73</v>
      </c>
      <c r="G29" s="21"/>
      <c r="H29" s="21"/>
    </row>
    <row r="30" spans="1:8" ht="18" customHeight="1">
      <c r="A30" s="13" t="s">
        <v>894</v>
      </c>
      <c r="B30" s="13" t="s">
        <v>895</v>
      </c>
      <c r="C30" s="13"/>
      <c r="D30" s="13"/>
      <c r="E30" s="13"/>
      <c r="F30" s="13"/>
      <c r="G30" s="13"/>
      <c r="H30" s="13"/>
    </row>
    <row r="31" spans="1:8" ht="30" customHeight="1">
      <c r="A31" s="14" t="s">
        <v>894</v>
      </c>
      <c r="B31" s="14" t="s">
        <v>895</v>
      </c>
      <c r="C31" s="15" t="s">
        <v>896</v>
      </c>
      <c r="D31" s="16" t="s">
        <v>897</v>
      </c>
      <c r="E31" s="23">
        <v>3</v>
      </c>
      <c r="F31" s="18" t="s">
        <v>73</v>
      </c>
      <c r="G31" s="16"/>
      <c r="H31" s="16"/>
    </row>
    <row r="32" spans="1:8" ht="30" customHeight="1">
      <c r="A32" s="19" t="s">
        <v>894</v>
      </c>
      <c r="B32" s="19" t="s">
        <v>895</v>
      </c>
      <c r="C32" s="20" t="s">
        <v>898</v>
      </c>
      <c r="D32" s="21" t="s">
        <v>899</v>
      </c>
      <c r="E32" s="23">
        <v>3</v>
      </c>
      <c r="F32" s="18" t="s">
        <v>73</v>
      </c>
      <c r="G32" s="21"/>
      <c r="H32" s="21"/>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2" xr:uid="{00000000-0002-0000-0B00-000000000000}">
      <formula1>"Not Started,In Progress,Compliant,Not Applicable"</formula1>
      <formula2>0</formula2>
    </dataValidation>
  </dataValidations>
  <hyperlinks>
    <hyperlink ref="H25" r:id="rId1" xr:uid="{EBD0742C-3B47-427B-BAB7-AC283413C26F}"/>
    <hyperlink ref="H8" r:id="rId2" xr:uid="{FF2D99EF-430E-4D69-BB8A-F632452EFCB0}"/>
    <hyperlink ref="H9" r:id="rId3" xr:uid="{B782DC2D-DA3C-4350-A837-99068A355DC3}"/>
    <hyperlink ref="H16" r:id="rId4" xr:uid="{E7506A61-78A1-4A9D-9E7E-877F76AE549F}"/>
    <hyperlink ref="H28" r:id="rId5" xr:uid="{CA11DD6F-0139-4CE2-B949-8E688E5CD8C4}"/>
  </hyperlinks>
  <pageMargins left="0.75" right="0.75" top="1" bottom="1"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zoomScale="75" zoomScaleNormal="75" workbookViewId="0">
      <pane ySplit="1" topLeftCell="D14" activePane="bottomLeft" state="frozen"/>
      <selection pane="bottomLeft" sqref="A1:H16"/>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900</v>
      </c>
      <c r="B2" s="13" t="s">
        <v>901</v>
      </c>
      <c r="C2" s="13"/>
      <c r="D2" s="13"/>
      <c r="E2" s="13"/>
      <c r="F2" s="13"/>
      <c r="G2" s="13"/>
      <c r="H2" s="13"/>
    </row>
    <row r="3" spans="1:8" ht="30" customHeight="1">
      <c r="A3" s="14" t="s">
        <v>900</v>
      </c>
      <c r="B3" s="14" t="s">
        <v>901</v>
      </c>
      <c r="C3" s="15" t="s">
        <v>902</v>
      </c>
      <c r="D3" s="16" t="s">
        <v>903</v>
      </c>
      <c r="E3" s="22">
        <v>1</v>
      </c>
      <c r="F3" s="18" t="s">
        <v>285</v>
      </c>
      <c r="G3" s="16" t="s">
        <v>904</v>
      </c>
      <c r="H3" s="16" t="s">
        <v>334</v>
      </c>
    </row>
    <row r="4" spans="1:8" ht="30" customHeight="1">
      <c r="A4" s="19" t="s">
        <v>900</v>
      </c>
      <c r="B4" s="19" t="s">
        <v>901</v>
      </c>
      <c r="C4" s="20" t="s">
        <v>905</v>
      </c>
      <c r="D4" s="21" t="s">
        <v>906</v>
      </c>
      <c r="E4" s="17">
        <v>2</v>
      </c>
      <c r="F4" s="18" t="s">
        <v>58</v>
      </c>
      <c r="G4" s="21" t="s">
        <v>907</v>
      </c>
      <c r="H4" s="21"/>
    </row>
    <row r="5" spans="1:8" ht="30" customHeight="1">
      <c r="A5" s="14" t="s">
        <v>900</v>
      </c>
      <c r="B5" s="14" t="s">
        <v>901</v>
      </c>
      <c r="C5" s="15" t="s">
        <v>908</v>
      </c>
      <c r="D5" s="16" t="s">
        <v>909</v>
      </c>
      <c r="E5" s="17">
        <v>2</v>
      </c>
      <c r="F5" s="18" t="s">
        <v>73</v>
      </c>
      <c r="G5" s="16" t="s">
        <v>910</v>
      </c>
      <c r="H5" s="16"/>
    </row>
    <row r="6" spans="1:8" ht="30" customHeight="1">
      <c r="A6" s="19" t="s">
        <v>900</v>
      </c>
      <c r="B6" s="19" t="s">
        <v>901</v>
      </c>
      <c r="C6" s="20" t="s">
        <v>911</v>
      </c>
      <c r="D6" s="21" t="s">
        <v>912</v>
      </c>
      <c r="E6" s="23">
        <v>3</v>
      </c>
      <c r="F6" s="18" t="s">
        <v>58</v>
      </c>
      <c r="G6" s="21" t="s">
        <v>913</v>
      </c>
      <c r="H6" s="21"/>
    </row>
    <row r="7" spans="1:8" ht="30" customHeight="1">
      <c r="A7" s="14" t="s">
        <v>900</v>
      </c>
      <c r="B7" s="14" t="s">
        <v>901</v>
      </c>
      <c r="C7" s="15" t="s">
        <v>914</v>
      </c>
      <c r="D7" s="16" t="s">
        <v>915</v>
      </c>
      <c r="E7" s="23">
        <v>3</v>
      </c>
      <c r="F7" s="18" t="s">
        <v>58</v>
      </c>
      <c r="G7" s="16" t="s">
        <v>916</v>
      </c>
      <c r="H7" s="16"/>
    </row>
    <row r="8" spans="1:8" ht="18" customHeight="1">
      <c r="A8" s="13" t="s">
        <v>917</v>
      </c>
      <c r="B8" s="13" t="s">
        <v>918</v>
      </c>
      <c r="C8" s="13"/>
      <c r="D8" s="13"/>
      <c r="E8" s="13"/>
      <c r="F8" s="13"/>
      <c r="G8" s="13"/>
      <c r="H8" s="13"/>
    </row>
    <row r="9" spans="1:8" ht="30" customHeight="1">
      <c r="A9" s="14" t="s">
        <v>917</v>
      </c>
      <c r="B9" s="14" t="s">
        <v>918</v>
      </c>
      <c r="C9" s="15" t="s">
        <v>919</v>
      </c>
      <c r="D9" s="16" t="s">
        <v>920</v>
      </c>
      <c r="E9" s="22">
        <v>1</v>
      </c>
      <c r="F9" s="18" t="s">
        <v>45</v>
      </c>
      <c r="G9" s="16" t="s">
        <v>921</v>
      </c>
      <c r="H9" s="24" t="s">
        <v>922</v>
      </c>
    </row>
    <row r="10" spans="1:8" ht="30" customHeight="1">
      <c r="A10" s="19" t="s">
        <v>917</v>
      </c>
      <c r="B10" s="19" t="s">
        <v>918</v>
      </c>
      <c r="C10" s="20" t="s">
        <v>923</v>
      </c>
      <c r="D10" s="21" t="s">
        <v>924</v>
      </c>
      <c r="E10" s="22">
        <v>1</v>
      </c>
      <c r="F10" s="18" t="s">
        <v>58</v>
      </c>
      <c r="G10" s="21"/>
      <c r="H10" s="21"/>
    </row>
    <row r="11" spans="1:8" ht="18" customHeight="1">
      <c r="A11" s="13" t="s">
        <v>925</v>
      </c>
      <c r="B11" s="13" t="s">
        <v>926</v>
      </c>
      <c r="C11" s="13"/>
      <c r="D11" s="13"/>
      <c r="E11" s="13"/>
      <c r="F11" s="13"/>
      <c r="G11" s="13"/>
      <c r="H11" s="13"/>
    </row>
    <row r="12" spans="1:8" ht="30" customHeight="1">
      <c r="A12" s="14" t="s">
        <v>925</v>
      </c>
      <c r="B12" s="14" t="s">
        <v>926</v>
      </c>
      <c r="C12" s="15" t="s">
        <v>927</v>
      </c>
      <c r="D12" s="16" t="s">
        <v>928</v>
      </c>
      <c r="E12" s="17">
        <v>2</v>
      </c>
      <c r="F12" s="18" t="s">
        <v>285</v>
      </c>
      <c r="G12" s="16" t="s">
        <v>929</v>
      </c>
      <c r="H12" s="16" t="s">
        <v>334</v>
      </c>
    </row>
    <row r="13" spans="1:8" ht="30" customHeight="1">
      <c r="A13" s="19" t="s">
        <v>925</v>
      </c>
      <c r="B13" s="19" t="s">
        <v>926</v>
      </c>
      <c r="C13" s="20" t="s">
        <v>930</v>
      </c>
      <c r="D13" s="21" t="s">
        <v>931</v>
      </c>
      <c r="E13" s="17">
        <v>2</v>
      </c>
      <c r="F13" s="18" t="s">
        <v>58</v>
      </c>
      <c r="G13" s="21"/>
      <c r="H13" s="21"/>
    </row>
    <row r="14" spans="1:8" ht="30" customHeight="1">
      <c r="A14" s="14" t="s">
        <v>925</v>
      </c>
      <c r="B14" s="14" t="s">
        <v>926</v>
      </c>
      <c r="C14" s="15" t="s">
        <v>932</v>
      </c>
      <c r="D14" s="16" t="s">
        <v>933</v>
      </c>
      <c r="E14" s="17">
        <v>2</v>
      </c>
      <c r="F14" s="18" t="s">
        <v>285</v>
      </c>
      <c r="G14" s="16" t="s">
        <v>934</v>
      </c>
      <c r="H14" s="16" t="s">
        <v>334</v>
      </c>
    </row>
    <row r="15" spans="1:8" ht="30" customHeight="1">
      <c r="A15" s="19" t="s">
        <v>925</v>
      </c>
      <c r="B15" s="19" t="s">
        <v>926</v>
      </c>
      <c r="C15" s="20" t="s">
        <v>935</v>
      </c>
      <c r="D15" s="21" t="s">
        <v>936</v>
      </c>
      <c r="E15" s="17">
        <v>2</v>
      </c>
      <c r="F15" s="18" t="s">
        <v>58</v>
      </c>
      <c r="G15" s="21"/>
      <c r="H15" s="21"/>
    </row>
    <row r="16" spans="1:8" ht="30" customHeight="1">
      <c r="A16" s="14" t="s">
        <v>925</v>
      </c>
      <c r="B16" s="14" t="s">
        <v>926</v>
      </c>
      <c r="C16" s="15" t="s">
        <v>937</v>
      </c>
      <c r="D16" s="16" t="s">
        <v>938</v>
      </c>
      <c r="E16" s="23">
        <v>3</v>
      </c>
      <c r="F16" s="18" t="s">
        <v>58</v>
      </c>
      <c r="G16" s="16"/>
      <c r="H16" s="16"/>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C00-000000000000}">
      <formula1>"Not Started,In Progress,Compliant,Not Applicable"</formula1>
      <formula2>0</formula2>
    </dataValidation>
  </dataValidations>
  <hyperlinks>
    <hyperlink ref="H9" r:id="rId1" xr:uid="{F3655D59-F9A6-47DA-93D8-9497D815C32E}"/>
  </hyperlinks>
  <pageMargins left="0.75" right="0.75" top="1" bottom="1"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zoomScale="75" zoomScaleNormal="75" workbookViewId="0">
      <pane ySplit="1" topLeftCell="B16" activePane="bottomLeft" state="frozen"/>
      <selection pane="bottomLeft" activeCell="G21" sqref="G21"/>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939</v>
      </c>
      <c r="B2" s="13" t="s">
        <v>940</v>
      </c>
      <c r="C2" s="13"/>
      <c r="D2" s="13"/>
      <c r="E2" s="13"/>
      <c r="F2" s="13"/>
      <c r="G2" s="13"/>
      <c r="H2" s="13"/>
    </row>
    <row r="3" spans="1:8" ht="30" customHeight="1">
      <c r="A3" s="14" t="s">
        <v>939</v>
      </c>
      <c r="B3" s="14" t="s">
        <v>940</v>
      </c>
      <c r="C3" s="15" t="s">
        <v>941</v>
      </c>
      <c r="D3" s="16" t="s">
        <v>942</v>
      </c>
      <c r="E3" s="17">
        <v>2</v>
      </c>
      <c r="F3" s="18" t="s">
        <v>58</v>
      </c>
      <c r="G3" s="16"/>
      <c r="H3" s="16"/>
    </row>
    <row r="4" spans="1:8" ht="30" customHeight="1">
      <c r="A4" s="19" t="s">
        <v>939</v>
      </c>
      <c r="B4" s="19" t="s">
        <v>940</v>
      </c>
      <c r="C4" s="20" t="s">
        <v>943</v>
      </c>
      <c r="D4" s="21" t="s">
        <v>944</v>
      </c>
      <c r="E4" s="23">
        <v>3</v>
      </c>
      <c r="F4" s="18" t="s">
        <v>58</v>
      </c>
      <c r="G4" s="21"/>
      <c r="H4" s="21"/>
    </row>
    <row r="5" spans="1:8" ht="30" customHeight="1">
      <c r="A5" s="14" t="s">
        <v>939</v>
      </c>
      <c r="B5" s="14" t="s">
        <v>940</v>
      </c>
      <c r="C5" s="15" t="s">
        <v>945</v>
      </c>
      <c r="D5" s="16" t="s">
        <v>946</v>
      </c>
      <c r="E5" s="23">
        <v>3</v>
      </c>
      <c r="F5" s="18" t="s">
        <v>58</v>
      </c>
      <c r="G5" s="16"/>
      <c r="H5" s="16"/>
    </row>
    <row r="6" spans="1:8" ht="30" customHeight="1">
      <c r="A6" s="19" t="s">
        <v>939</v>
      </c>
      <c r="B6" s="19" t="s">
        <v>940</v>
      </c>
      <c r="C6" s="20" t="s">
        <v>947</v>
      </c>
      <c r="D6" s="21" t="s">
        <v>948</v>
      </c>
      <c r="E6" s="23">
        <v>3</v>
      </c>
      <c r="F6" s="18" t="s">
        <v>58</v>
      </c>
      <c r="G6" s="21"/>
      <c r="H6" s="21"/>
    </row>
    <row r="7" spans="1:8" ht="18" customHeight="1">
      <c r="A7" s="13" t="s">
        <v>949</v>
      </c>
      <c r="B7" s="13" t="s">
        <v>950</v>
      </c>
      <c r="C7" s="13"/>
      <c r="D7" s="13"/>
      <c r="E7" s="13"/>
      <c r="F7" s="13"/>
      <c r="G7" s="13"/>
      <c r="H7" s="13"/>
    </row>
    <row r="8" spans="1:8" ht="30" customHeight="1">
      <c r="A8" s="14" t="s">
        <v>949</v>
      </c>
      <c r="B8" s="14" t="s">
        <v>950</v>
      </c>
      <c r="C8" s="15" t="s">
        <v>951</v>
      </c>
      <c r="D8" s="16" t="s">
        <v>952</v>
      </c>
      <c r="E8" s="17">
        <v>2</v>
      </c>
      <c r="F8" s="18" t="s">
        <v>58</v>
      </c>
      <c r="G8" s="16"/>
      <c r="H8" s="16"/>
    </row>
    <row r="9" spans="1:8" ht="30" customHeight="1">
      <c r="A9" s="19" t="s">
        <v>949</v>
      </c>
      <c r="B9" s="19" t="s">
        <v>950</v>
      </c>
      <c r="C9" s="20" t="s">
        <v>953</v>
      </c>
      <c r="D9" s="21" t="s">
        <v>954</v>
      </c>
      <c r="E9" s="17">
        <v>2</v>
      </c>
      <c r="F9" s="18" t="s">
        <v>58</v>
      </c>
      <c r="G9" s="21"/>
      <c r="H9" s="21"/>
    </row>
    <row r="10" spans="1:8" ht="30" customHeight="1">
      <c r="A10" s="14" t="s">
        <v>949</v>
      </c>
      <c r="B10" s="14" t="s">
        <v>950</v>
      </c>
      <c r="C10" s="15" t="s">
        <v>955</v>
      </c>
      <c r="D10" s="16" t="s">
        <v>956</v>
      </c>
      <c r="E10" s="17">
        <v>2</v>
      </c>
      <c r="F10" s="18" t="s">
        <v>45</v>
      </c>
      <c r="G10" s="16" t="s">
        <v>957</v>
      </c>
      <c r="H10" s="24" t="s">
        <v>958</v>
      </c>
    </row>
    <row r="11" spans="1:8" ht="30" customHeight="1">
      <c r="A11" s="19" t="s">
        <v>949</v>
      </c>
      <c r="B11" s="19" t="s">
        <v>950</v>
      </c>
      <c r="C11" s="20" t="s">
        <v>959</v>
      </c>
      <c r="D11" s="21" t="s">
        <v>960</v>
      </c>
      <c r="E11" s="17">
        <v>2</v>
      </c>
      <c r="F11" s="18" t="s">
        <v>45</v>
      </c>
      <c r="G11" s="21"/>
      <c r="H11" s="21"/>
    </row>
    <row r="12" spans="1:8" ht="30" customHeight="1">
      <c r="A12" s="14" t="s">
        <v>949</v>
      </c>
      <c r="B12" s="14" t="s">
        <v>950</v>
      </c>
      <c r="C12" s="15" t="s">
        <v>961</v>
      </c>
      <c r="D12" s="16" t="s">
        <v>962</v>
      </c>
      <c r="E12" s="17">
        <v>2</v>
      </c>
      <c r="F12" s="18" t="s">
        <v>45</v>
      </c>
      <c r="G12" s="16" t="s">
        <v>963</v>
      </c>
      <c r="H12" s="16" t="s">
        <v>958</v>
      </c>
    </row>
    <row r="13" spans="1:8" ht="30" customHeight="1">
      <c r="A13" s="19" t="s">
        <v>949</v>
      </c>
      <c r="B13" s="19" t="s">
        <v>950</v>
      </c>
      <c r="C13" s="20" t="s">
        <v>964</v>
      </c>
      <c r="D13" s="21" t="s">
        <v>965</v>
      </c>
      <c r="E13" s="23">
        <v>3</v>
      </c>
      <c r="F13" s="18" t="s">
        <v>58</v>
      </c>
      <c r="G13" s="21"/>
      <c r="H13" s="21"/>
    </row>
    <row r="14" spans="1:8" ht="18" customHeight="1">
      <c r="A14" s="13" t="s">
        <v>966</v>
      </c>
      <c r="B14" s="13" t="s">
        <v>967</v>
      </c>
      <c r="C14" s="13"/>
      <c r="D14" s="13"/>
      <c r="E14" s="13"/>
      <c r="F14" s="13"/>
      <c r="G14" s="13"/>
      <c r="H14" s="13"/>
    </row>
    <row r="15" spans="1:8" ht="30" customHeight="1">
      <c r="A15" s="14" t="s">
        <v>966</v>
      </c>
      <c r="B15" s="14" t="s">
        <v>967</v>
      </c>
      <c r="C15" s="15" t="s">
        <v>968</v>
      </c>
      <c r="D15" s="16" t="s">
        <v>969</v>
      </c>
      <c r="E15" s="17">
        <v>2</v>
      </c>
      <c r="F15" s="18" t="s">
        <v>285</v>
      </c>
      <c r="G15" s="16" t="s">
        <v>970</v>
      </c>
      <c r="H15" s="16"/>
    </row>
    <row r="16" spans="1:8" ht="30" customHeight="1">
      <c r="A16" s="19" t="s">
        <v>966</v>
      </c>
      <c r="B16" s="19" t="s">
        <v>967</v>
      </c>
      <c r="C16" s="20" t="s">
        <v>971</v>
      </c>
      <c r="D16" s="21" t="s">
        <v>972</v>
      </c>
      <c r="E16" s="17">
        <v>2</v>
      </c>
      <c r="F16" s="18" t="s">
        <v>58</v>
      </c>
      <c r="G16" s="21"/>
      <c r="H16" s="21"/>
    </row>
    <row r="17" spans="1:8" ht="30" customHeight="1">
      <c r="A17" s="14" t="s">
        <v>966</v>
      </c>
      <c r="B17" s="14" t="s">
        <v>967</v>
      </c>
      <c r="C17" s="15" t="s">
        <v>973</v>
      </c>
      <c r="D17" s="16" t="s">
        <v>974</v>
      </c>
      <c r="E17" s="23">
        <v>3</v>
      </c>
      <c r="F17" s="18" t="s">
        <v>58</v>
      </c>
      <c r="G17" s="16"/>
      <c r="H17" s="16"/>
    </row>
    <row r="18" spans="1:8" ht="30" customHeight="1">
      <c r="A18" s="19" t="s">
        <v>966</v>
      </c>
      <c r="B18" s="19" t="s">
        <v>967</v>
      </c>
      <c r="C18" s="20" t="s">
        <v>975</v>
      </c>
      <c r="D18" s="21" t="s">
        <v>976</v>
      </c>
      <c r="E18" s="23">
        <v>3</v>
      </c>
      <c r="F18" s="18" t="s">
        <v>58</v>
      </c>
      <c r="G18" s="21"/>
      <c r="H18" s="21"/>
    </row>
    <row r="19" spans="1:8" ht="18" customHeight="1">
      <c r="A19" s="13" t="s">
        <v>977</v>
      </c>
      <c r="B19" s="13" t="s">
        <v>978</v>
      </c>
      <c r="C19" s="13"/>
      <c r="D19" s="13"/>
      <c r="E19" s="13"/>
      <c r="F19" s="13"/>
      <c r="G19" s="13"/>
      <c r="H19" s="13"/>
    </row>
    <row r="20" spans="1:8" ht="30" customHeight="1">
      <c r="A20" s="14" t="s">
        <v>977</v>
      </c>
      <c r="B20" s="14" t="s">
        <v>978</v>
      </c>
      <c r="C20" s="15" t="s">
        <v>979</v>
      </c>
      <c r="D20" s="16" t="s">
        <v>980</v>
      </c>
      <c r="E20" s="22">
        <v>1</v>
      </c>
      <c r="F20" s="18" t="s">
        <v>45</v>
      </c>
      <c r="G20" s="16" t="s">
        <v>981</v>
      </c>
      <c r="H20" s="16" t="s">
        <v>982</v>
      </c>
    </row>
    <row r="21" spans="1:8" ht="30" customHeight="1">
      <c r="A21" s="19" t="s">
        <v>977</v>
      </c>
      <c r="B21" s="19" t="s">
        <v>978</v>
      </c>
      <c r="C21" s="20" t="s">
        <v>983</v>
      </c>
      <c r="D21" s="21" t="s">
        <v>984</v>
      </c>
      <c r="E21" s="17">
        <v>2</v>
      </c>
      <c r="F21" s="18" t="s">
        <v>58</v>
      </c>
      <c r="G21" s="21"/>
      <c r="H21" s="21"/>
    </row>
    <row r="22" spans="1:8" ht="30" customHeight="1">
      <c r="A22" s="14" t="s">
        <v>977</v>
      </c>
      <c r="B22" s="14" t="s">
        <v>978</v>
      </c>
      <c r="C22" s="15" t="s">
        <v>985</v>
      </c>
      <c r="D22" s="16" t="s">
        <v>986</v>
      </c>
      <c r="E22" s="17">
        <v>2</v>
      </c>
      <c r="F22" s="18" t="s">
        <v>58</v>
      </c>
      <c r="G22" s="16"/>
      <c r="H22" s="16"/>
    </row>
    <row r="23" spans="1:8" ht="30" customHeight="1">
      <c r="A23" s="19" t="s">
        <v>977</v>
      </c>
      <c r="B23" s="19" t="s">
        <v>978</v>
      </c>
      <c r="C23" s="20" t="s">
        <v>987</v>
      </c>
      <c r="D23" s="21" t="s">
        <v>988</v>
      </c>
      <c r="E23" s="17">
        <v>2</v>
      </c>
      <c r="F23" s="18" t="s">
        <v>45</v>
      </c>
      <c r="G23" s="21" t="s">
        <v>989</v>
      </c>
      <c r="H23" s="21"/>
    </row>
    <row r="24" spans="1:8" ht="30" customHeight="1">
      <c r="A24" s="14" t="s">
        <v>977</v>
      </c>
      <c r="B24" s="14" t="s">
        <v>978</v>
      </c>
      <c r="C24" s="15" t="s">
        <v>990</v>
      </c>
      <c r="D24" s="16" t="s">
        <v>991</v>
      </c>
      <c r="E24" s="17">
        <v>2</v>
      </c>
      <c r="F24" s="18" t="s">
        <v>45</v>
      </c>
      <c r="G24" s="16" t="s">
        <v>992</v>
      </c>
      <c r="H24" s="16"/>
    </row>
    <row r="25" spans="1:8" ht="30" customHeight="1">
      <c r="A25" s="19" t="s">
        <v>977</v>
      </c>
      <c r="B25" s="19" t="s">
        <v>978</v>
      </c>
      <c r="C25" s="20" t="s">
        <v>993</v>
      </c>
      <c r="D25" s="21" t="s">
        <v>994</v>
      </c>
      <c r="E25" s="23">
        <v>3</v>
      </c>
      <c r="F25" s="18" t="s">
        <v>45</v>
      </c>
      <c r="G25" s="21" t="s">
        <v>995</v>
      </c>
      <c r="H25" s="21"/>
    </row>
    <row r="26" spans="1:8" ht="30" customHeight="1">
      <c r="A26" s="14" t="s">
        <v>977</v>
      </c>
      <c r="B26" s="14" t="s">
        <v>978</v>
      </c>
      <c r="C26" s="15" t="s">
        <v>996</v>
      </c>
      <c r="D26" s="16" t="s">
        <v>997</v>
      </c>
      <c r="E26" s="23">
        <v>3</v>
      </c>
      <c r="F26" s="18" t="s">
        <v>45</v>
      </c>
      <c r="G26" s="16" t="s">
        <v>998</v>
      </c>
      <c r="H26" s="16"/>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D00-000000000000}">
      <formula1>"Not Started,In Progress,Compliant,Not Applicable"</formula1>
      <formula2>0</formula2>
    </dataValidation>
  </dataValidations>
  <hyperlinks>
    <hyperlink ref="H10" r:id="rId1" xr:uid="{D285E72E-D565-40E6-9AB1-A6684E4ED5BC}"/>
  </hyperlinks>
  <pageMargins left="0.75" right="0.75" top="1" bottom="1" header="0.51180555555555496" footer="0.51180555555555496"/>
  <pageSetup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tabSelected="1" zoomScale="75" zoomScaleNormal="75" workbookViewId="0">
      <pane ySplit="1" topLeftCell="A12" activePane="bottomLeft" state="frozen"/>
      <selection pane="bottomLeft" activeCell="G24" sqref="G24"/>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999</v>
      </c>
      <c r="B2" s="13" t="s">
        <v>1000</v>
      </c>
      <c r="C2" s="13"/>
      <c r="D2" s="13"/>
      <c r="E2" s="13"/>
      <c r="F2" s="13"/>
      <c r="G2" s="13"/>
      <c r="H2" s="13"/>
    </row>
    <row r="3" spans="1:8" ht="30" customHeight="1">
      <c r="A3" s="14" t="s">
        <v>999</v>
      </c>
      <c r="B3" s="14" t="s">
        <v>1000</v>
      </c>
      <c r="C3" s="15" t="s">
        <v>1001</v>
      </c>
      <c r="D3" s="16" t="s">
        <v>1002</v>
      </c>
      <c r="E3" s="17">
        <v>2</v>
      </c>
      <c r="F3" s="18" t="s">
        <v>45</v>
      </c>
      <c r="G3" s="16"/>
      <c r="H3" s="16" t="s">
        <v>1003</v>
      </c>
    </row>
    <row r="4" spans="1:8" ht="30" customHeight="1">
      <c r="A4" s="19" t="s">
        <v>999</v>
      </c>
      <c r="B4" s="19" t="s">
        <v>1000</v>
      </c>
      <c r="C4" s="20" t="s">
        <v>1004</v>
      </c>
      <c r="D4" s="21" t="s">
        <v>1005</v>
      </c>
      <c r="E4" s="17">
        <v>2</v>
      </c>
      <c r="F4" s="18" t="s">
        <v>45</v>
      </c>
      <c r="G4" s="21"/>
      <c r="H4" s="21" t="s">
        <v>1006</v>
      </c>
    </row>
    <row r="5" spans="1:8" ht="18" customHeight="1">
      <c r="A5" s="13" t="s">
        <v>1007</v>
      </c>
      <c r="B5" s="13" t="s">
        <v>1008</v>
      </c>
      <c r="C5" s="13"/>
      <c r="D5" s="13"/>
      <c r="E5" s="13"/>
      <c r="F5" s="13"/>
      <c r="G5" s="13"/>
      <c r="H5" s="13"/>
    </row>
    <row r="6" spans="1:8" ht="30" customHeight="1">
      <c r="A6" s="14" t="s">
        <v>1007</v>
      </c>
      <c r="B6" s="14" t="s">
        <v>1008</v>
      </c>
      <c r="C6" s="15" t="s">
        <v>1009</v>
      </c>
      <c r="D6" s="16" t="s">
        <v>1010</v>
      </c>
      <c r="E6" s="22">
        <v>1</v>
      </c>
      <c r="F6" s="18" t="s">
        <v>45</v>
      </c>
      <c r="G6" s="16" t="s">
        <v>1011</v>
      </c>
      <c r="H6" s="16" t="s">
        <v>1012</v>
      </c>
    </row>
    <row r="7" spans="1:8" ht="30" customHeight="1">
      <c r="A7" s="19" t="s">
        <v>1007</v>
      </c>
      <c r="B7" s="19" t="s">
        <v>1008</v>
      </c>
      <c r="C7" s="20" t="s">
        <v>1013</v>
      </c>
      <c r="D7" s="21" t="s">
        <v>1014</v>
      </c>
      <c r="E7" s="17">
        <v>2</v>
      </c>
      <c r="F7" s="18" t="s">
        <v>45</v>
      </c>
      <c r="G7" s="21" t="s">
        <v>1015</v>
      </c>
      <c r="H7" s="25" t="s">
        <v>1016</v>
      </c>
    </row>
    <row r="8" spans="1:8" ht="30" customHeight="1">
      <c r="A8" s="14" t="s">
        <v>1007</v>
      </c>
      <c r="B8" s="14" t="s">
        <v>1008</v>
      </c>
      <c r="C8" s="15" t="s">
        <v>1017</v>
      </c>
      <c r="D8" s="16" t="s">
        <v>1018</v>
      </c>
      <c r="E8" s="17">
        <v>2</v>
      </c>
      <c r="F8" s="18" t="s">
        <v>45</v>
      </c>
      <c r="G8" s="16" t="s">
        <v>1019</v>
      </c>
      <c r="H8" s="16" t="s">
        <v>1012</v>
      </c>
    </row>
    <row r="9" spans="1:8" ht="30" customHeight="1">
      <c r="A9" s="19" t="s">
        <v>1007</v>
      </c>
      <c r="B9" s="19" t="s">
        <v>1008</v>
      </c>
      <c r="C9" s="20" t="s">
        <v>1020</v>
      </c>
      <c r="D9" s="21" t="s">
        <v>1021</v>
      </c>
      <c r="E9" s="17">
        <v>2</v>
      </c>
      <c r="F9" s="18" t="s">
        <v>45</v>
      </c>
      <c r="G9" s="21" t="s">
        <v>1022</v>
      </c>
      <c r="H9" s="25" t="s">
        <v>1016</v>
      </c>
    </row>
    <row r="10" spans="1:8" ht="30" customHeight="1">
      <c r="A10" s="14" t="s">
        <v>1007</v>
      </c>
      <c r="B10" s="14" t="s">
        <v>1008</v>
      </c>
      <c r="C10" s="15" t="s">
        <v>1023</v>
      </c>
      <c r="D10" s="16" t="s">
        <v>1024</v>
      </c>
      <c r="E10" s="23">
        <v>3</v>
      </c>
      <c r="F10" s="18" t="s">
        <v>58</v>
      </c>
      <c r="G10" s="16"/>
      <c r="H10" s="16"/>
    </row>
    <row r="11" spans="1:8" ht="30" customHeight="1">
      <c r="A11" s="19" t="s">
        <v>1007</v>
      </c>
      <c r="B11" s="19" t="s">
        <v>1008</v>
      </c>
      <c r="C11" s="20" t="s">
        <v>1025</v>
      </c>
      <c r="D11" s="21" t="s">
        <v>1026</v>
      </c>
      <c r="E11" s="23">
        <v>3</v>
      </c>
      <c r="F11" s="18" t="s">
        <v>58</v>
      </c>
      <c r="G11" s="21"/>
      <c r="H11" s="21"/>
    </row>
    <row r="12" spans="1:8" ht="30" customHeight="1">
      <c r="A12" s="14" t="s">
        <v>1007</v>
      </c>
      <c r="B12" s="14" t="s">
        <v>1008</v>
      </c>
      <c r="C12" s="15" t="s">
        <v>1027</v>
      </c>
      <c r="D12" s="16" t="s">
        <v>1028</v>
      </c>
      <c r="E12" s="23">
        <v>3</v>
      </c>
      <c r="F12" s="18" t="s">
        <v>58</v>
      </c>
      <c r="G12" s="16"/>
      <c r="H12" s="16"/>
    </row>
    <row r="13" spans="1:8" ht="30" customHeight="1">
      <c r="A13" s="19" t="s">
        <v>1007</v>
      </c>
      <c r="B13" s="19" t="s">
        <v>1008</v>
      </c>
      <c r="C13" s="20" t="s">
        <v>1029</v>
      </c>
      <c r="D13" s="21" t="s">
        <v>1030</v>
      </c>
      <c r="E13" s="23">
        <v>3</v>
      </c>
      <c r="F13" s="18" t="s">
        <v>58</v>
      </c>
      <c r="G13" s="21"/>
      <c r="H13" s="21"/>
    </row>
    <row r="14" spans="1:8" ht="18" customHeight="1">
      <c r="A14" s="13" t="s">
        <v>1031</v>
      </c>
      <c r="B14" s="13" t="s">
        <v>1032</v>
      </c>
      <c r="C14" s="13"/>
      <c r="D14" s="13"/>
      <c r="E14" s="13"/>
      <c r="F14" s="13"/>
      <c r="G14" s="13"/>
      <c r="H14" s="13"/>
    </row>
    <row r="15" spans="1:8" ht="30" customHeight="1">
      <c r="A15" s="14" t="s">
        <v>1031</v>
      </c>
      <c r="B15" s="14" t="s">
        <v>1032</v>
      </c>
      <c r="C15" s="15" t="s">
        <v>1033</v>
      </c>
      <c r="D15" s="16" t="s">
        <v>1034</v>
      </c>
      <c r="E15" s="22">
        <v>1</v>
      </c>
      <c r="F15" s="18" t="s">
        <v>45</v>
      </c>
      <c r="G15" s="16" t="s">
        <v>1035</v>
      </c>
      <c r="H15" s="16" t="s">
        <v>1016</v>
      </c>
    </row>
    <row r="16" spans="1:8" ht="30" customHeight="1">
      <c r="A16" s="19" t="s">
        <v>1031</v>
      </c>
      <c r="B16" s="19" t="s">
        <v>1032</v>
      </c>
      <c r="C16" s="20" t="s">
        <v>1036</v>
      </c>
      <c r="D16" s="21" t="s">
        <v>1037</v>
      </c>
      <c r="E16" s="17">
        <v>2</v>
      </c>
      <c r="F16" s="18" t="s">
        <v>45</v>
      </c>
      <c r="G16" s="21" t="s">
        <v>1038</v>
      </c>
      <c r="H16" s="16" t="s">
        <v>1016</v>
      </c>
    </row>
    <row r="17" spans="1:8" ht="30" customHeight="1">
      <c r="A17" s="14" t="s">
        <v>1031</v>
      </c>
      <c r="B17" s="14" t="s">
        <v>1032</v>
      </c>
      <c r="C17" s="15" t="s">
        <v>1039</v>
      </c>
      <c r="D17" s="16" t="s">
        <v>1040</v>
      </c>
      <c r="E17" s="17">
        <v>2</v>
      </c>
      <c r="F17" s="18" t="s">
        <v>73</v>
      </c>
      <c r="G17" s="16" t="s">
        <v>1041</v>
      </c>
      <c r="H17" s="16"/>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7" xr:uid="{00000000-0002-0000-0E00-000000000000}">
      <formula1>"Not Started,In Progress,Compliant,Not Applicable"</formula1>
      <formula2>0</formula2>
    </dataValidation>
  </dataValidations>
  <hyperlinks>
    <hyperlink ref="H7" r:id="rId1" xr:uid="{712727B8-F8D3-44FA-8AB4-B35D590B9A80}"/>
    <hyperlink ref="H9" r:id="rId2" xr:uid="{17007BF0-94A4-434A-A8E4-0F1A5FAD85E5}"/>
  </hyperlinks>
  <pageMargins left="0.75" right="0.75" top="1" bottom="1" header="0.51180555555555496" footer="0.51180555555555496"/>
  <pageSetup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6"/>
  <sheetViews>
    <sheetView zoomScale="75" zoomScaleNormal="75" workbookViewId="0">
      <pane ySplit="1" topLeftCell="A3" activePane="bottomLeft" state="frozen"/>
      <selection pane="bottomLeft" activeCell="G12" sqref="G12"/>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1042</v>
      </c>
      <c r="B2" s="13" t="s">
        <v>1043</v>
      </c>
      <c r="C2" s="13"/>
      <c r="D2" s="13"/>
      <c r="E2" s="13"/>
      <c r="F2" s="13"/>
      <c r="G2" s="13"/>
      <c r="H2" s="13"/>
    </row>
    <row r="3" spans="1:8" ht="30" customHeight="1">
      <c r="A3" s="14" t="s">
        <v>1042</v>
      </c>
      <c r="B3" s="14" t="s">
        <v>1043</v>
      </c>
      <c r="C3" s="15" t="s">
        <v>1044</v>
      </c>
      <c r="D3" s="16" t="s">
        <v>1045</v>
      </c>
      <c r="E3" s="22">
        <v>1</v>
      </c>
      <c r="F3" s="18" t="s">
        <v>45</v>
      </c>
      <c r="G3" s="16"/>
      <c r="H3" s="16" t="s">
        <v>1046</v>
      </c>
    </row>
    <row r="4" spans="1:8" ht="30" customHeight="1">
      <c r="A4" s="19" t="s">
        <v>1042</v>
      </c>
      <c r="B4" s="19" t="s">
        <v>1043</v>
      </c>
      <c r="C4" s="20" t="s">
        <v>1047</v>
      </c>
      <c r="D4" s="21" t="s">
        <v>1048</v>
      </c>
      <c r="E4" s="17">
        <v>2</v>
      </c>
      <c r="F4" s="18" t="s">
        <v>45</v>
      </c>
      <c r="G4" s="21" t="s">
        <v>1049</v>
      </c>
      <c r="H4" s="21" t="s">
        <v>1050</v>
      </c>
    </row>
    <row r="5" spans="1:8" ht="30" customHeight="1">
      <c r="A5" s="14" t="s">
        <v>1042</v>
      </c>
      <c r="B5" s="14" t="s">
        <v>1043</v>
      </c>
      <c r="C5" s="15" t="s">
        <v>1051</v>
      </c>
      <c r="D5" s="16" t="s">
        <v>1052</v>
      </c>
      <c r="E5" s="17">
        <v>2</v>
      </c>
      <c r="F5" s="18" t="s">
        <v>58</v>
      </c>
      <c r="G5" s="16"/>
      <c r="H5" s="16"/>
    </row>
    <row r="6" spans="1:8" ht="30" customHeight="1">
      <c r="A6" s="19" t="s">
        <v>1042</v>
      </c>
      <c r="B6" s="19" t="s">
        <v>1043</v>
      </c>
      <c r="C6" s="20" t="s">
        <v>1053</v>
      </c>
      <c r="D6" s="21" t="s">
        <v>1054</v>
      </c>
      <c r="E6" s="23">
        <v>3</v>
      </c>
      <c r="F6" s="18" t="s">
        <v>58</v>
      </c>
      <c r="G6" s="21"/>
      <c r="H6" s="21"/>
    </row>
    <row r="7" spans="1:8" ht="30" customHeight="1">
      <c r="A7" s="14" t="s">
        <v>1042</v>
      </c>
      <c r="B7" s="14" t="s">
        <v>1043</v>
      </c>
      <c r="C7" s="15" t="s">
        <v>1055</v>
      </c>
      <c r="D7" s="16" t="s">
        <v>1056</v>
      </c>
      <c r="E7" s="23">
        <v>3</v>
      </c>
      <c r="F7" s="18" t="s">
        <v>58</v>
      </c>
      <c r="G7" s="16"/>
      <c r="H7" s="16"/>
    </row>
    <row r="8" spans="1:8" ht="18" customHeight="1">
      <c r="A8" s="13" t="s">
        <v>1057</v>
      </c>
      <c r="B8" s="13" t="s">
        <v>1058</v>
      </c>
      <c r="C8" s="13"/>
      <c r="D8" s="13"/>
      <c r="E8" s="13"/>
      <c r="F8" s="13"/>
      <c r="G8" s="13"/>
      <c r="H8" s="13"/>
    </row>
    <row r="9" spans="1:8" ht="30" customHeight="1">
      <c r="A9" s="14" t="s">
        <v>1057</v>
      </c>
      <c r="B9" s="14" t="s">
        <v>1058</v>
      </c>
      <c r="C9" s="15" t="s">
        <v>1059</v>
      </c>
      <c r="D9" s="16" t="s">
        <v>1060</v>
      </c>
      <c r="E9" s="22">
        <v>1</v>
      </c>
      <c r="F9" s="18" t="s">
        <v>58</v>
      </c>
      <c r="G9" s="16"/>
      <c r="H9" s="16"/>
    </row>
    <row r="10" spans="1:8" ht="30" customHeight="1">
      <c r="A10" s="19" t="s">
        <v>1057</v>
      </c>
      <c r="B10" s="19" t="s">
        <v>1058</v>
      </c>
      <c r="C10" s="20" t="s">
        <v>1061</v>
      </c>
      <c r="D10" s="21" t="s">
        <v>1062</v>
      </c>
      <c r="E10" s="17">
        <v>2</v>
      </c>
      <c r="F10" s="18" t="s">
        <v>58</v>
      </c>
      <c r="G10" s="21"/>
      <c r="H10" s="21"/>
    </row>
    <row r="11" spans="1:8" ht="30" customHeight="1">
      <c r="A11" s="14" t="s">
        <v>1057</v>
      </c>
      <c r="B11" s="14" t="s">
        <v>1058</v>
      </c>
      <c r="C11" s="15" t="s">
        <v>1063</v>
      </c>
      <c r="D11" s="16" t="s">
        <v>1064</v>
      </c>
      <c r="E11" s="17">
        <v>2</v>
      </c>
      <c r="F11" s="18" t="s">
        <v>45</v>
      </c>
      <c r="G11" s="16" t="s">
        <v>1065</v>
      </c>
      <c r="H11" s="16" t="s">
        <v>1066</v>
      </c>
    </row>
    <row r="12" spans="1:8" ht="30" customHeight="1">
      <c r="A12" s="19" t="s">
        <v>1057</v>
      </c>
      <c r="B12" s="19" t="s">
        <v>1058</v>
      </c>
      <c r="C12" s="20" t="s">
        <v>1067</v>
      </c>
      <c r="D12" s="21" t="s">
        <v>1068</v>
      </c>
      <c r="E12" s="23">
        <v>3</v>
      </c>
      <c r="F12" s="18" t="s">
        <v>45</v>
      </c>
      <c r="G12" s="21" t="s">
        <v>1069</v>
      </c>
      <c r="H12" s="21" t="s">
        <v>1050</v>
      </c>
    </row>
    <row r="13" spans="1:8" ht="30" customHeight="1">
      <c r="A13" s="14" t="s">
        <v>1057</v>
      </c>
      <c r="B13" s="14" t="s">
        <v>1058</v>
      </c>
      <c r="C13" s="15" t="s">
        <v>1070</v>
      </c>
      <c r="D13" s="16" t="s">
        <v>1071</v>
      </c>
      <c r="E13" s="23">
        <v>3</v>
      </c>
      <c r="F13" s="18" t="s">
        <v>45</v>
      </c>
      <c r="G13" s="16" t="s">
        <v>1072</v>
      </c>
      <c r="H13" s="16"/>
    </row>
    <row r="14" spans="1:8" ht="18" customHeight="1">
      <c r="A14" s="13" t="s">
        <v>1073</v>
      </c>
      <c r="B14" s="13" t="s">
        <v>1074</v>
      </c>
      <c r="C14" s="13"/>
      <c r="D14" s="13"/>
      <c r="E14" s="13"/>
      <c r="F14" s="13"/>
      <c r="G14" s="13"/>
      <c r="H14" s="13"/>
    </row>
    <row r="15" spans="1:8" ht="30" customHeight="1">
      <c r="A15" s="14" t="s">
        <v>1073</v>
      </c>
      <c r="B15" s="14" t="s">
        <v>1074</v>
      </c>
      <c r="C15" s="15" t="s">
        <v>1075</v>
      </c>
      <c r="D15" s="16" t="s">
        <v>1076</v>
      </c>
      <c r="E15" s="22">
        <v>1</v>
      </c>
      <c r="F15" s="18" t="s">
        <v>45</v>
      </c>
      <c r="G15" s="16"/>
      <c r="H15" s="24" t="s">
        <v>1077</v>
      </c>
    </row>
    <row r="16" spans="1:8" ht="30" customHeight="1">
      <c r="A16" s="19" t="s">
        <v>1073</v>
      </c>
      <c r="B16" s="19" t="s">
        <v>1074</v>
      </c>
      <c r="C16" s="20" t="s">
        <v>1078</v>
      </c>
      <c r="D16" s="21" t="s">
        <v>1079</v>
      </c>
      <c r="E16" s="17">
        <v>2</v>
      </c>
      <c r="F16" s="18" t="s">
        <v>73</v>
      </c>
      <c r="G16" s="21" t="s">
        <v>1080</v>
      </c>
      <c r="H16" s="21" t="s">
        <v>70</v>
      </c>
    </row>
    <row r="17" spans="1:8" ht="30" customHeight="1">
      <c r="A17" s="14" t="s">
        <v>1073</v>
      </c>
      <c r="B17" s="14" t="s">
        <v>1074</v>
      </c>
      <c r="C17" s="15" t="s">
        <v>1081</v>
      </c>
      <c r="D17" s="16" t="s">
        <v>1082</v>
      </c>
      <c r="E17" s="17">
        <v>2</v>
      </c>
      <c r="F17" s="18" t="s">
        <v>45</v>
      </c>
      <c r="G17" s="16"/>
      <c r="H17" s="16" t="s">
        <v>1083</v>
      </c>
    </row>
    <row r="18" spans="1:8" ht="30" customHeight="1">
      <c r="A18" s="19" t="s">
        <v>1073</v>
      </c>
      <c r="B18" s="19" t="s">
        <v>1074</v>
      </c>
      <c r="C18" s="20" t="s">
        <v>1084</v>
      </c>
      <c r="D18" s="21" t="s">
        <v>1085</v>
      </c>
      <c r="E18" s="17">
        <v>2</v>
      </c>
      <c r="F18" s="18" t="s">
        <v>45</v>
      </c>
      <c r="G18" s="21" t="s">
        <v>1086</v>
      </c>
      <c r="H18" s="21" t="s">
        <v>1087</v>
      </c>
    </row>
    <row r="19" spans="1:8" ht="30" customHeight="1">
      <c r="A19" s="14" t="s">
        <v>1073</v>
      </c>
      <c r="B19" s="14" t="s">
        <v>1074</v>
      </c>
      <c r="C19" s="15" t="s">
        <v>1088</v>
      </c>
      <c r="D19" s="16" t="s">
        <v>1089</v>
      </c>
      <c r="E19" s="17">
        <v>2</v>
      </c>
      <c r="F19" s="18" t="s">
        <v>45</v>
      </c>
      <c r="G19" s="16"/>
      <c r="H19" s="16" t="s">
        <v>1077</v>
      </c>
    </row>
    <row r="20" spans="1:8" ht="30" customHeight="1">
      <c r="A20" s="19" t="s">
        <v>1073</v>
      </c>
      <c r="B20" s="19" t="s">
        <v>1074</v>
      </c>
      <c r="C20" s="20" t="s">
        <v>1090</v>
      </c>
      <c r="D20" s="21" t="s">
        <v>1091</v>
      </c>
      <c r="E20" s="17">
        <v>2</v>
      </c>
      <c r="F20" s="18" t="s">
        <v>73</v>
      </c>
      <c r="G20" s="21" t="s">
        <v>1092</v>
      </c>
      <c r="H20" s="21"/>
    </row>
    <row r="21" spans="1:8" ht="30" customHeight="1">
      <c r="A21" s="14" t="s">
        <v>1073</v>
      </c>
      <c r="B21" s="14" t="s">
        <v>1074</v>
      </c>
      <c r="C21" s="15" t="s">
        <v>1093</v>
      </c>
      <c r="D21" s="16" t="s">
        <v>1094</v>
      </c>
      <c r="E21" s="17">
        <v>2</v>
      </c>
      <c r="F21" s="18" t="s">
        <v>45</v>
      </c>
      <c r="G21" s="16" t="s">
        <v>1095</v>
      </c>
      <c r="H21" s="16" t="s">
        <v>1096</v>
      </c>
    </row>
    <row r="22" spans="1:8" ht="18" customHeight="1">
      <c r="A22" s="13" t="s">
        <v>1097</v>
      </c>
      <c r="B22" s="13" t="s">
        <v>1098</v>
      </c>
      <c r="C22" s="13"/>
      <c r="D22" s="13"/>
      <c r="E22" s="13"/>
      <c r="F22" s="13"/>
      <c r="G22" s="13"/>
      <c r="H22" s="13"/>
    </row>
    <row r="23" spans="1:8" ht="30" customHeight="1">
      <c r="A23" s="14" t="s">
        <v>1097</v>
      </c>
      <c r="B23" s="14" t="s">
        <v>1098</v>
      </c>
      <c r="C23" s="15" t="s">
        <v>1099</v>
      </c>
      <c r="D23" s="16" t="s">
        <v>1100</v>
      </c>
      <c r="E23" s="23">
        <v>3</v>
      </c>
      <c r="F23" s="18" t="s">
        <v>45</v>
      </c>
      <c r="G23" s="16" t="s">
        <v>1101</v>
      </c>
      <c r="H23" s="24" t="s">
        <v>1102</v>
      </c>
    </row>
    <row r="24" spans="1:8" ht="30" customHeight="1">
      <c r="A24" s="19" t="s">
        <v>1097</v>
      </c>
      <c r="B24" s="19" t="s">
        <v>1098</v>
      </c>
      <c r="C24" s="20" t="s">
        <v>1103</v>
      </c>
      <c r="D24" s="21" t="s">
        <v>1104</v>
      </c>
      <c r="E24" s="23">
        <v>3</v>
      </c>
      <c r="F24" s="18" t="s">
        <v>73</v>
      </c>
      <c r="G24" s="21" t="s">
        <v>70</v>
      </c>
      <c r="H24" s="21"/>
    </row>
    <row r="25" spans="1:8" ht="30" customHeight="1">
      <c r="A25" s="14" t="s">
        <v>1097</v>
      </c>
      <c r="B25" s="14" t="s">
        <v>1098</v>
      </c>
      <c r="C25" s="15" t="s">
        <v>1105</v>
      </c>
      <c r="D25" s="16" t="s">
        <v>1106</v>
      </c>
      <c r="E25" s="23">
        <v>3</v>
      </c>
      <c r="F25" s="18" t="s">
        <v>73</v>
      </c>
      <c r="G25" s="16"/>
      <c r="H25" s="16"/>
    </row>
    <row r="26" spans="1:8" ht="30" customHeight="1">
      <c r="A26" s="19" t="s">
        <v>1097</v>
      </c>
      <c r="B26" s="19" t="s">
        <v>1098</v>
      </c>
      <c r="C26" s="20" t="s">
        <v>1107</v>
      </c>
      <c r="D26" s="21" t="s">
        <v>1108</v>
      </c>
      <c r="E26" s="23">
        <v>3</v>
      </c>
      <c r="F26" s="18" t="s">
        <v>73</v>
      </c>
      <c r="G26" s="21"/>
      <c r="H26" s="21"/>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hyperlinks>
    <hyperlink ref="H15" r:id="rId1" xr:uid="{81E77D67-2E0C-4ADA-B427-75E79D3F9F7F}"/>
    <hyperlink ref="H23" r:id="rId2" xr:uid="{4E57FEFC-3E59-428D-84B7-546CFE412798}"/>
  </hyperlinks>
  <pageMargins left="0.75" right="0.75" top="1" bottom="1" header="0.51180555555555496" footer="0.51180555555555496"/>
  <pageSetup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zoomScale="75" zoomScaleNormal="75" workbookViewId="0">
      <pane ySplit="1" topLeftCell="B12" activePane="bottomLeft" state="frozen"/>
      <selection pane="bottomLeft" activeCell="G18" sqref="G18"/>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1109</v>
      </c>
      <c r="B2" s="13" t="s">
        <v>1110</v>
      </c>
      <c r="C2" s="13"/>
      <c r="D2" s="13"/>
      <c r="E2" s="13"/>
      <c r="F2" s="13"/>
      <c r="G2" s="13"/>
      <c r="H2" s="13"/>
    </row>
    <row r="3" spans="1:8" ht="30" customHeight="1">
      <c r="A3" s="14" t="s">
        <v>1109</v>
      </c>
      <c r="B3" s="14" t="s">
        <v>1110</v>
      </c>
      <c r="C3" s="15" t="s">
        <v>1111</v>
      </c>
      <c r="D3" s="16" t="s">
        <v>1112</v>
      </c>
      <c r="E3" s="17">
        <v>2</v>
      </c>
      <c r="F3" s="18" t="s">
        <v>45</v>
      </c>
      <c r="G3" s="16" t="s">
        <v>1113</v>
      </c>
      <c r="H3" s="16" t="s">
        <v>1114</v>
      </c>
    </row>
    <row r="4" spans="1:8" ht="18" customHeight="1">
      <c r="A4" s="13" t="s">
        <v>1115</v>
      </c>
      <c r="B4" s="13" t="s">
        <v>1116</v>
      </c>
      <c r="C4" s="13"/>
      <c r="D4" s="13"/>
      <c r="E4" s="13"/>
      <c r="F4" s="13"/>
      <c r="G4" s="13"/>
      <c r="H4" s="13"/>
    </row>
    <row r="5" spans="1:8" ht="30" customHeight="1">
      <c r="A5" s="14" t="s">
        <v>1115</v>
      </c>
      <c r="B5" s="14" t="s">
        <v>1116</v>
      </c>
      <c r="C5" s="15" t="s">
        <v>1117</v>
      </c>
      <c r="D5" s="16" t="s">
        <v>1118</v>
      </c>
      <c r="E5" s="17">
        <v>2</v>
      </c>
      <c r="F5" s="18" t="s">
        <v>45</v>
      </c>
      <c r="G5" s="16" t="s">
        <v>1119</v>
      </c>
      <c r="H5" s="36" t="s">
        <v>1120</v>
      </c>
    </row>
    <row r="6" spans="1:8" ht="30" customHeight="1">
      <c r="A6" s="19" t="s">
        <v>1115</v>
      </c>
      <c r="B6" s="19" t="s">
        <v>1116</v>
      </c>
      <c r="C6" s="20" t="s">
        <v>1121</v>
      </c>
      <c r="D6" s="21" t="s">
        <v>1122</v>
      </c>
      <c r="E6" s="17">
        <v>2</v>
      </c>
      <c r="F6" s="18" t="s">
        <v>45</v>
      </c>
      <c r="G6" s="21" t="s">
        <v>1123</v>
      </c>
      <c r="H6" s="21" t="s">
        <v>1124</v>
      </c>
    </row>
    <row r="7" spans="1:8" ht="30" customHeight="1">
      <c r="A7" s="14" t="s">
        <v>1115</v>
      </c>
      <c r="B7" s="14" t="s">
        <v>1116</v>
      </c>
      <c r="C7" s="15" t="s">
        <v>1125</v>
      </c>
      <c r="D7" s="16" t="s">
        <v>1126</v>
      </c>
      <c r="E7" s="17">
        <v>2</v>
      </c>
      <c r="F7" s="18" t="s">
        <v>45</v>
      </c>
      <c r="G7" s="16" t="s">
        <v>1127</v>
      </c>
      <c r="H7" s="36" t="s">
        <v>1128</v>
      </c>
    </row>
    <row r="8" spans="1:8" ht="30" customHeight="1">
      <c r="A8" s="19" t="s">
        <v>1115</v>
      </c>
      <c r="B8" s="19" t="s">
        <v>1116</v>
      </c>
      <c r="C8" s="20" t="s">
        <v>1129</v>
      </c>
      <c r="D8" s="21" t="s">
        <v>1130</v>
      </c>
      <c r="E8" s="17">
        <v>2</v>
      </c>
      <c r="F8" s="18" t="s">
        <v>45</v>
      </c>
      <c r="G8" s="21" t="s">
        <v>1131</v>
      </c>
      <c r="H8" s="37" t="s">
        <v>1120</v>
      </c>
    </row>
    <row r="9" spans="1:8" ht="30" customHeight="1">
      <c r="A9" s="14" t="s">
        <v>1115</v>
      </c>
      <c r="B9" s="14" t="s">
        <v>1116</v>
      </c>
      <c r="C9" s="15" t="s">
        <v>1132</v>
      </c>
      <c r="D9" s="16" t="s">
        <v>1133</v>
      </c>
      <c r="E9" s="17">
        <v>2</v>
      </c>
      <c r="F9" s="18" t="s">
        <v>45</v>
      </c>
      <c r="G9" s="16" t="s">
        <v>1134</v>
      </c>
      <c r="H9" s="36" t="s">
        <v>1120</v>
      </c>
    </row>
    <row r="10" spans="1:8" ht="18" customHeight="1">
      <c r="A10" s="13" t="s">
        <v>1135</v>
      </c>
      <c r="B10" s="13" t="s">
        <v>1136</v>
      </c>
      <c r="C10" s="13"/>
      <c r="D10" s="13"/>
      <c r="E10" s="13"/>
      <c r="F10" s="13"/>
      <c r="G10" s="13"/>
      <c r="H10" s="13"/>
    </row>
    <row r="11" spans="1:8" ht="30" customHeight="1">
      <c r="A11" s="14" t="s">
        <v>1135</v>
      </c>
      <c r="B11" s="14" t="s">
        <v>1136</v>
      </c>
      <c r="C11" s="15" t="s">
        <v>1137</v>
      </c>
      <c r="D11" s="16" t="s">
        <v>1138</v>
      </c>
      <c r="E11" s="17">
        <v>2</v>
      </c>
      <c r="F11" s="18" t="s">
        <v>45</v>
      </c>
      <c r="G11" s="16" t="s">
        <v>1139</v>
      </c>
      <c r="H11" s="36" t="s">
        <v>1120</v>
      </c>
    </row>
    <row r="12" spans="1:8" ht="30" customHeight="1">
      <c r="A12" s="19" t="s">
        <v>1135</v>
      </c>
      <c r="B12" s="19" t="s">
        <v>1136</v>
      </c>
      <c r="C12" s="20" t="s">
        <v>1140</v>
      </c>
      <c r="D12" s="21" t="s">
        <v>1141</v>
      </c>
      <c r="E12" s="17">
        <v>2</v>
      </c>
      <c r="F12" s="18" t="s">
        <v>45</v>
      </c>
      <c r="G12" s="21" t="s">
        <v>1142</v>
      </c>
      <c r="H12" s="37" t="s">
        <v>1120</v>
      </c>
    </row>
    <row r="13" spans="1:8" ht="30" customHeight="1">
      <c r="A13" s="14" t="s">
        <v>1135</v>
      </c>
      <c r="B13" s="14" t="s">
        <v>1136</v>
      </c>
      <c r="C13" s="15" t="s">
        <v>1143</v>
      </c>
      <c r="D13" s="16" t="s">
        <v>1144</v>
      </c>
      <c r="E13" s="17">
        <v>2</v>
      </c>
      <c r="F13" s="18" t="s">
        <v>45</v>
      </c>
      <c r="G13" s="16" t="s">
        <v>1145</v>
      </c>
      <c r="H13" s="37" t="s">
        <v>1102</v>
      </c>
    </row>
    <row r="14" spans="1:8" ht="30" customHeight="1">
      <c r="A14" s="19" t="s">
        <v>1135</v>
      </c>
      <c r="B14" s="19" t="s">
        <v>1136</v>
      </c>
      <c r="C14" s="20" t="s">
        <v>1146</v>
      </c>
      <c r="D14" s="21" t="s">
        <v>1147</v>
      </c>
      <c r="E14" s="17">
        <v>2</v>
      </c>
      <c r="F14" s="18" t="s">
        <v>45</v>
      </c>
      <c r="G14" s="21" t="s">
        <v>1148</v>
      </c>
      <c r="H14" s="37" t="s">
        <v>1149</v>
      </c>
    </row>
    <row r="15" spans="1:8" ht="18" customHeight="1">
      <c r="A15" s="13" t="s">
        <v>1150</v>
      </c>
      <c r="B15" s="13" t="s">
        <v>1151</v>
      </c>
      <c r="C15" s="13"/>
      <c r="D15" s="13"/>
      <c r="E15" s="13"/>
      <c r="F15" s="13"/>
      <c r="G15" s="13"/>
      <c r="H15" s="13"/>
    </row>
    <row r="16" spans="1:8" ht="30" customHeight="1">
      <c r="A16" s="14" t="s">
        <v>1150</v>
      </c>
      <c r="B16" s="14" t="s">
        <v>1151</v>
      </c>
      <c r="C16" s="15" t="s">
        <v>1152</v>
      </c>
      <c r="D16" s="16" t="s">
        <v>1153</v>
      </c>
      <c r="E16" s="17">
        <v>2</v>
      </c>
      <c r="F16" s="18" t="s">
        <v>45</v>
      </c>
      <c r="G16" s="16" t="s">
        <v>1154</v>
      </c>
      <c r="H16" s="36" t="s">
        <v>1149</v>
      </c>
    </row>
    <row r="17" spans="1:8" ht="30" customHeight="1">
      <c r="A17" s="19" t="s">
        <v>1150</v>
      </c>
      <c r="B17" s="19" t="s">
        <v>1151</v>
      </c>
      <c r="C17" s="20" t="s">
        <v>1155</v>
      </c>
      <c r="D17" s="21" t="s">
        <v>1156</v>
      </c>
      <c r="E17" s="17">
        <v>2</v>
      </c>
      <c r="F17" s="18" t="s">
        <v>45</v>
      </c>
      <c r="G17" s="21" t="s">
        <v>1157</v>
      </c>
      <c r="H17" s="21" t="s">
        <v>70</v>
      </c>
    </row>
    <row r="18" spans="1:8" ht="30" customHeight="1">
      <c r="A18" s="14" t="s">
        <v>1150</v>
      </c>
      <c r="B18" s="14" t="s">
        <v>1151</v>
      </c>
      <c r="C18" s="15" t="s">
        <v>1158</v>
      </c>
      <c r="D18" s="16" t="s">
        <v>1159</v>
      </c>
      <c r="E18" s="17">
        <v>2</v>
      </c>
      <c r="F18" s="18" t="s">
        <v>45</v>
      </c>
      <c r="G18" s="16" t="s">
        <v>1160</v>
      </c>
      <c r="H18" s="16"/>
    </row>
    <row r="19" spans="1:8" ht="18" customHeight="1">
      <c r="A19" s="13" t="s">
        <v>1161</v>
      </c>
      <c r="B19" s="13" t="s">
        <v>1162</v>
      </c>
      <c r="C19" s="13"/>
      <c r="D19" s="13"/>
      <c r="E19" s="13"/>
      <c r="F19" s="13"/>
      <c r="G19" s="13"/>
      <c r="H19" s="13"/>
    </row>
    <row r="20" spans="1:8" ht="30" customHeight="1">
      <c r="A20" s="14" t="s">
        <v>1161</v>
      </c>
      <c r="B20" s="14" t="s">
        <v>1162</v>
      </c>
      <c r="C20" s="15" t="s">
        <v>1163</v>
      </c>
      <c r="D20" s="16" t="s">
        <v>1164</v>
      </c>
      <c r="E20" s="17">
        <v>2</v>
      </c>
      <c r="F20" s="18" t="s">
        <v>45</v>
      </c>
      <c r="G20" s="16" t="s">
        <v>1165</v>
      </c>
      <c r="H20" s="36" t="s">
        <v>1149</v>
      </c>
    </row>
    <row r="21" spans="1:8" ht="30" customHeight="1">
      <c r="A21" s="19" t="s">
        <v>1161</v>
      </c>
      <c r="B21" s="19" t="s">
        <v>1162</v>
      </c>
      <c r="C21" s="20" t="s">
        <v>1166</v>
      </c>
      <c r="D21" s="21" t="s">
        <v>1167</v>
      </c>
      <c r="E21" s="17">
        <v>2</v>
      </c>
      <c r="F21" s="18" t="s">
        <v>45</v>
      </c>
      <c r="G21" t="s">
        <v>1168</v>
      </c>
      <c r="H21" s="38" t="s">
        <v>1149</v>
      </c>
    </row>
    <row r="22" spans="1:8" ht="30" customHeight="1">
      <c r="A22" s="14" t="s">
        <v>1161</v>
      </c>
      <c r="B22" s="14" t="s">
        <v>1162</v>
      </c>
      <c r="C22" s="15" t="s">
        <v>1169</v>
      </c>
      <c r="D22" s="16" t="s">
        <v>1170</v>
      </c>
      <c r="E22" s="17">
        <v>2</v>
      </c>
      <c r="F22" s="18" t="s">
        <v>45</v>
      </c>
      <c r="G22" s="21" t="s">
        <v>1171</v>
      </c>
      <c r="H22" s="37" t="s">
        <v>1102</v>
      </c>
    </row>
    <row r="23" spans="1:8" ht="30" customHeight="1">
      <c r="A23" s="19" t="s">
        <v>1161</v>
      </c>
      <c r="B23" s="19" t="s">
        <v>1162</v>
      </c>
      <c r="C23" s="20" t="s">
        <v>1172</v>
      </c>
      <c r="D23" s="21" t="s">
        <v>1173</v>
      </c>
      <c r="E23" s="23">
        <v>3</v>
      </c>
      <c r="F23" s="18" t="s">
        <v>73</v>
      </c>
      <c r="G23" s="21"/>
      <c r="H23" s="21"/>
    </row>
  </sheetData>
  <phoneticPr fontId="10" type="noConversion"/>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3" xr:uid="{00000000-0002-0000-1000-000000000000}">
      <formula1>"Not Started,In Progress,Compliant,Not Applicable"</formula1>
      <formula2>0</formula2>
    </dataValidation>
  </dataValidations>
  <hyperlinks>
    <hyperlink ref="H5" r:id="rId1" xr:uid="{9CCD0E20-7FE9-4B0D-90F8-9A3105B6BB95}"/>
    <hyperlink ref="H8" r:id="rId2" xr:uid="{DCEF5987-F6C7-41AB-901D-3BB559251FD1}"/>
    <hyperlink ref="H7" r:id="rId3" xr:uid="{F7CBCA1E-26A6-404C-9EE1-4EE517B5A9DC}"/>
    <hyperlink ref="H9" r:id="rId4" xr:uid="{57AAEA56-2817-4232-B338-3164998A7E60}"/>
    <hyperlink ref="H11" r:id="rId5" xr:uid="{34E0A875-644E-44E1-AD2E-B0153C838A12}"/>
    <hyperlink ref="H12" r:id="rId6" xr:uid="{431FFC20-1DD2-4EE0-BC6E-BC9E9ECDF4F8}"/>
    <hyperlink ref="H13" r:id="rId7" xr:uid="{EC3E8CCA-5A53-4D4B-84B6-8D2F38BDBBB3}"/>
    <hyperlink ref="H14" r:id="rId8" xr:uid="{AFD3C009-61C2-4E30-B715-3BA0F84952F8}"/>
    <hyperlink ref="H16" r:id="rId9" xr:uid="{9BA640AE-2B7F-49EE-9AAE-7FD75D076E4E}"/>
    <hyperlink ref="H20" r:id="rId10" xr:uid="{C65FE14B-85A4-42C8-A821-485438374E31}"/>
    <hyperlink ref="H21" r:id="rId11" xr:uid="{EB64454A-0C5D-47C6-8DE3-E9FA45E5D600}"/>
    <hyperlink ref="H22" r:id="rId12" xr:uid="{8E2231DF-513D-49B7-B12A-71C11D790582}"/>
  </hyperlinks>
  <pageMargins left="0.75" right="0.75" top="1" bottom="1" header="0.51180555555555496" footer="0.51180555555555496"/>
  <pageSetup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zoomScale="75" zoomScaleNormal="75" workbookViewId="0">
      <pane ySplit="1" topLeftCell="A2" activePane="bottomLeft" state="frozen"/>
      <selection pane="bottomLeft" activeCell="D3" sqref="D3"/>
    </sheetView>
  </sheetViews>
  <sheetFormatPr defaultColWidth="8.5703125" defaultRowHeight="14.4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15" customHeight="1">
      <c r="A1" s="12" t="s">
        <v>33</v>
      </c>
      <c r="B1" s="12" t="s">
        <v>34</v>
      </c>
      <c r="C1" s="12" t="s">
        <v>35</v>
      </c>
      <c r="D1" s="12" t="s">
        <v>36</v>
      </c>
      <c r="E1" s="12" t="s">
        <v>37</v>
      </c>
      <c r="F1" s="12" t="s">
        <v>38</v>
      </c>
      <c r="G1" s="12" t="s">
        <v>39</v>
      </c>
      <c r="H1" s="12" t="s">
        <v>40</v>
      </c>
    </row>
    <row r="2" spans="1:8" ht="18" customHeight="1">
      <c r="A2" s="13" t="s">
        <v>1174</v>
      </c>
      <c r="B2" s="13" t="s">
        <v>1175</v>
      </c>
      <c r="C2" s="13"/>
      <c r="D2" s="13"/>
      <c r="E2" s="13"/>
      <c r="F2" s="13"/>
      <c r="G2" s="13"/>
      <c r="H2" s="13"/>
    </row>
    <row r="3" spans="1:8" ht="30" customHeight="1">
      <c r="A3" s="14" t="s">
        <v>1174</v>
      </c>
      <c r="B3" s="14" t="s">
        <v>1175</v>
      </c>
      <c r="C3" s="15" t="s">
        <v>1176</v>
      </c>
      <c r="D3" s="16" t="s">
        <v>1177</v>
      </c>
      <c r="E3" s="17">
        <v>2</v>
      </c>
      <c r="F3" s="18" t="s">
        <v>73</v>
      </c>
      <c r="G3" s="16"/>
      <c r="H3" s="16"/>
    </row>
    <row r="4" spans="1:8" ht="30" customHeight="1">
      <c r="A4" s="19" t="s">
        <v>1174</v>
      </c>
      <c r="B4" s="19" t="s">
        <v>1175</v>
      </c>
      <c r="C4" s="20" t="s">
        <v>1178</v>
      </c>
      <c r="D4" s="21" t="s">
        <v>1179</v>
      </c>
      <c r="E4" s="23">
        <v>3</v>
      </c>
      <c r="F4" s="18" t="s">
        <v>73</v>
      </c>
      <c r="G4" s="21"/>
      <c r="H4" s="21"/>
    </row>
    <row r="5" spans="1:8" ht="18" customHeight="1">
      <c r="A5" s="13" t="s">
        <v>1180</v>
      </c>
      <c r="B5" s="13" t="s">
        <v>1181</v>
      </c>
      <c r="C5" s="13"/>
      <c r="D5" s="13"/>
      <c r="E5" s="13"/>
      <c r="F5" s="13"/>
      <c r="G5" s="13"/>
      <c r="H5" s="13"/>
    </row>
    <row r="6" spans="1:8" ht="30" customHeight="1">
      <c r="A6" s="14" t="s">
        <v>1180</v>
      </c>
      <c r="B6" s="14" t="s">
        <v>1181</v>
      </c>
      <c r="C6" s="15" t="s">
        <v>1182</v>
      </c>
      <c r="D6" s="16" t="s">
        <v>1183</v>
      </c>
      <c r="E6" s="17">
        <v>2</v>
      </c>
      <c r="F6" s="18" t="s">
        <v>73</v>
      </c>
      <c r="G6" s="16"/>
      <c r="H6" s="16"/>
    </row>
    <row r="7" spans="1:8" ht="30" customHeight="1">
      <c r="A7" s="19" t="s">
        <v>1180</v>
      </c>
      <c r="B7" s="19" t="s">
        <v>1181</v>
      </c>
      <c r="C7" s="20" t="s">
        <v>1184</v>
      </c>
      <c r="D7" s="21" t="s">
        <v>1185</v>
      </c>
      <c r="E7" s="17">
        <v>2</v>
      </c>
      <c r="F7" s="18" t="s">
        <v>73</v>
      </c>
      <c r="G7" s="21"/>
      <c r="H7" s="21"/>
    </row>
    <row r="8" spans="1:8" ht="30" customHeight="1">
      <c r="A8" s="14" t="s">
        <v>1180</v>
      </c>
      <c r="B8" s="14" t="s">
        <v>1181</v>
      </c>
      <c r="C8" s="15" t="s">
        <v>1186</v>
      </c>
      <c r="D8" s="16" t="s">
        <v>1187</v>
      </c>
      <c r="E8" s="17">
        <v>2</v>
      </c>
      <c r="F8" s="18" t="s">
        <v>73</v>
      </c>
      <c r="G8" s="16"/>
      <c r="H8" s="16"/>
    </row>
    <row r="9" spans="1:8" ht="30" customHeight="1">
      <c r="A9" s="19" t="s">
        <v>1180</v>
      </c>
      <c r="B9" s="19" t="s">
        <v>1181</v>
      </c>
      <c r="C9" s="20" t="s">
        <v>1188</v>
      </c>
      <c r="D9" s="21" t="s">
        <v>1189</v>
      </c>
      <c r="E9" s="17">
        <v>2</v>
      </c>
      <c r="F9" s="18" t="s">
        <v>73</v>
      </c>
      <c r="G9" s="21"/>
      <c r="H9" s="21"/>
    </row>
    <row r="10" spans="1:8" ht="30" customHeight="1">
      <c r="A10" s="14" t="s">
        <v>1180</v>
      </c>
      <c r="B10" s="14" t="s">
        <v>1181</v>
      </c>
      <c r="C10" s="15" t="s">
        <v>1190</v>
      </c>
      <c r="D10" s="16" t="s">
        <v>1191</v>
      </c>
      <c r="E10" s="23">
        <v>3</v>
      </c>
      <c r="F10" s="18" t="s">
        <v>73</v>
      </c>
      <c r="G10" s="16"/>
      <c r="H10" s="16"/>
    </row>
    <row r="11" spans="1:8" ht="30" customHeight="1">
      <c r="A11" s="19" t="s">
        <v>1180</v>
      </c>
      <c r="B11" s="19" t="s">
        <v>1181</v>
      </c>
      <c r="C11" s="20" t="s">
        <v>1192</v>
      </c>
      <c r="D11" s="21" t="s">
        <v>1193</v>
      </c>
      <c r="E11" s="23">
        <v>3</v>
      </c>
      <c r="F11" s="18" t="s">
        <v>73</v>
      </c>
      <c r="G11" s="21"/>
      <c r="H11" s="21"/>
    </row>
    <row r="12" spans="1:8" ht="30" customHeight="1">
      <c r="A12" s="14" t="s">
        <v>1180</v>
      </c>
      <c r="B12" s="14" t="s">
        <v>1181</v>
      </c>
      <c r="C12" s="15" t="s">
        <v>1194</v>
      </c>
      <c r="D12" s="16" t="s">
        <v>1195</v>
      </c>
      <c r="E12" s="23">
        <v>3</v>
      </c>
      <c r="F12" s="18" t="s">
        <v>73</v>
      </c>
      <c r="G12" s="16"/>
      <c r="H12" s="16"/>
    </row>
    <row r="13" spans="1:8" ht="30" customHeight="1">
      <c r="A13" s="19" t="s">
        <v>1180</v>
      </c>
      <c r="B13" s="19" t="s">
        <v>1181</v>
      </c>
      <c r="C13" s="20" t="s">
        <v>1196</v>
      </c>
      <c r="D13" s="21" t="s">
        <v>1197</v>
      </c>
      <c r="E13" s="23">
        <v>3</v>
      </c>
      <c r="F13" s="18" t="s">
        <v>73</v>
      </c>
      <c r="G13" s="21"/>
      <c r="H13" s="21"/>
    </row>
    <row r="14" spans="1:8" ht="18" customHeight="1">
      <c r="A14" s="13" t="s">
        <v>1198</v>
      </c>
      <c r="B14" s="13" t="s">
        <v>1199</v>
      </c>
      <c r="C14" s="13"/>
      <c r="D14" s="13"/>
      <c r="E14" s="13"/>
      <c r="F14" s="13"/>
      <c r="G14" s="13"/>
      <c r="H14" s="13"/>
    </row>
    <row r="15" spans="1:8" ht="30" customHeight="1">
      <c r="A15" s="14" t="s">
        <v>1198</v>
      </c>
      <c r="B15" s="14" t="s">
        <v>1199</v>
      </c>
      <c r="C15" s="15" t="s">
        <v>1200</v>
      </c>
      <c r="D15" s="16" t="s">
        <v>1201</v>
      </c>
      <c r="E15" s="17">
        <v>2</v>
      </c>
      <c r="F15" s="18" t="s">
        <v>73</v>
      </c>
      <c r="G15" s="16"/>
      <c r="H15" s="16"/>
    </row>
    <row r="16" spans="1:8" ht="30" customHeight="1">
      <c r="A16" s="19" t="s">
        <v>1198</v>
      </c>
      <c r="B16" s="19" t="s">
        <v>1199</v>
      </c>
      <c r="C16" s="20" t="s">
        <v>1202</v>
      </c>
      <c r="D16" s="21" t="s">
        <v>1203</v>
      </c>
      <c r="E16" s="17">
        <v>2</v>
      </c>
      <c r="F16" s="18" t="s">
        <v>73</v>
      </c>
      <c r="G16" s="21"/>
      <c r="H16" s="21"/>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1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268FFD435A89848A1117B5C75485225" ma:contentTypeVersion="4" ma:contentTypeDescription="Create a new document." ma:contentTypeScope="" ma:versionID="00d43730884d38da41988693f83c9fdf">
  <xsd:schema xmlns:xsd="http://www.w3.org/2001/XMLSchema" xmlns:xs="http://www.w3.org/2001/XMLSchema" xmlns:p="http://schemas.microsoft.com/office/2006/metadata/properties" xmlns:ns3="69649b39-c5c6-4e43-be23-96d13485302d" targetNamespace="http://schemas.microsoft.com/office/2006/metadata/properties" ma:root="true" ma:fieldsID="1debe62fbcfbd2fb83a00de8386e89e0" ns3:_="">
    <xsd:import namespace="69649b39-c5c6-4e43-be23-96d13485302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649b39-c5c6-4e43-be23-96d13485302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4E3336B-2E82-492E-92E3-BC0FF3CFEC7E}"/>
</file>

<file path=customXml/itemProps2.xml><?xml version="1.0" encoding="utf-8"?>
<ds:datastoreItem xmlns:ds="http://schemas.openxmlformats.org/officeDocument/2006/customXml" ds:itemID="{8C4A6C8E-0B06-4233-95D2-F29B6E612311}"/>
</file>

<file path=customXml/itemProps3.xml><?xml version="1.0" encoding="utf-8"?>
<ds:datastoreItem xmlns:ds="http://schemas.openxmlformats.org/officeDocument/2006/customXml" ds:itemID="{4BF41635-49F5-41B6-AF7C-0BE9F69ADB4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3</cp:revision>
  <dcterms:created xsi:type="dcterms:W3CDTF">2026-03-04T10:14:28Z</dcterms:created>
  <dcterms:modified xsi:type="dcterms:W3CDTF">2026-06-16T18:40:32Z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y fmtid="{D5CDD505-2E9C-101B-9397-08002B2CF9AE}" pid="3" name="ContentTypeId">
    <vt:lpwstr>0x0101005268FFD435A89848A1117B5C75485225</vt:lpwstr>
  </property>
</Properties>
</file>